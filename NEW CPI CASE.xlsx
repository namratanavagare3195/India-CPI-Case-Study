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Namrata\Desktop\CPI CASE STUDY NAMRTA+ ANURAG\"/>
    </mc:Choice>
  </mc:AlternateContent>
  <xr:revisionPtr revIDLastSave="0" documentId="13_ncr:1_{B7AA13DA-B718-4A68-A05E-5AB7AB32E02D}" xr6:coauthVersionLast="47" xr6:coauthVersionMax="47" xr10:uidLastSave="{00000000-0000-0000-0000-000000000000}"/>
  <bookViews>
    <workbookView xWindow="-120" yWindow="-120" windowWidth="20730" windowHeight="11040" tabRatio="601" activeTab="3" xr2:uid="{9273BA3C-ADA2-4243-A2DA-88986A7FD2BF}"/>
  </bookViews>
  <sheets>
    <sheet name="All_India_Index_Upto_April23-CP" sheetId="2" r:id="rId1"/>
    <sheet name="Pivot" sheetId="3" r:id="rId2"/>
    <sheet name="Dashboard" sheetId="4" r:id="rId3"/>
    <sheet name="OIL PRICE" sheetId="5" r:id="rId4"/>
  </sheets>
  <definedNames>
    <definedName name="_xlnm._FilterDatabase" localSheetId="0" hidden="1">'All_India_Index_Upto_April23-CP'!$A$1:$AJ$373</definedName>
    <definedName name="_xlnm.Criteria" localSheetId="0">'All_India_Index_Upto_April23-CP'!$BL$1:$BL$4</definedName>
    <definedName name="ExternalData_1" localSheetId="0" hidden="1">'All_India_Index_Upto_April23-CP'!$A$1:$AC$373</definedName>
    <definedName name="_xlnm.Extract" localSheetId="0">'All_India_Index_Upto_April23-CP'!$BO$1:$CY$1</definedName>
    <definedName name="Slicer_Sector">#N/A</definedName>
    <definedName name="Slicer_Sector1">#N/A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3" i="5" l="1"/>
  <c r="R34" i="5"/>
  <c r="R35" i="5"/>
  <c r="R36" i="5"/>
  <c r="R37" i="5"/>
  <c r="R38" i="5"/>
  <c r="R39" i="5"/>
  <c r="R40" i="5"/>
  <c r="R41" i="5"/>
  <c r="R42" i="5"/>
  <c r="R43" i="5"/>
  <c r="R32" i="5"/>
  <c r="R71" i="5"/>
  <c r="R72" i="5"/>
  <c r="R73" i="5"/>
  <c r="R74" i="5"/>
  <c r="R75" i="5"/>
  <c r="R76" i="5"/>
  <c r="R77" i="5"/>
  <c r="R78" i="5"/>
  <c r="R79" i="5"/>
  <c r="R80" i="5"/>
  <c r="R81" i="5"/>
  <c r="R70" i="5"/>
  <c r="R51" i="5"/>
  <c r="R52" i="5"/>
  <c r="R53" i="5"/>
  <c r="R54" i="5"/>
  <c r="R55" i="5"/>
  <c r="R56" i="5"/>
  <c r="R57" i="5"/>
  <c r="R58" i="5"/>
  <c r="R59" i="5"/>
  <c r="R60" i="5"/>
  <c r="R61" i="5"/>
  <c r="R50" i="5"/>
  <c r="Q70" i="5"/>
  <c r="Q71" i="5"/>
  <c r="Q72" i="5"/>
  <c r="Q73" i="5"/>
  <c r="Q74" i="5"/>
  <c r="Q75" i="5"/>
  <c r="Q76" i="5"/>
  <c r="Q77" i="5"/>
  <c r="Q78" i="5"/>
  <c r="Q79" i="5"/>
  <c r="Q80" i="5"/>
  <c r="Q81" i="5"/>
  <c r="Q69" i="5"/>
  <c r="Q50" i="5"/>
  <c r="Q51" i="5"/>
  <c r="Q52" i="5"/>
  <c r="Q53" i="5"/>
  <c r="Q54" i="5"/>
  <c r="Q55" i="5"/>
  <c r="Q56" i="5"/>
  <c r="Q57" i="5"/>
  <c r="Q58" i="5"/>
  <c r="Q59" i="5"/>
  <c r="Q60" i="5"/>
  <c r="Q61" i="5"/>
  <c r="Q49" i="5"/>
  <c r="Q32" i="5"/>
  <c r="Q33" i="5"/>
  <c r="Q34" i="5"/>
  <c r="Q35" i="5"/>
  <c r="Q36" i="5"/>
  <c r="Q37" i="5"/>
  <c r="Q38" i="5"/>
  <c r="Q39" i="5"/>
  <c r="Q40" i="5"/>
  <c r="Q41" i="5"/>
  <c r="Q42" i="5"/>
  <c r="Q43" i="5"/>
  <c r="Q31" i="5"/>
  <c r="BR3" i="2"/>
  <c r="CZ3" i="2" s="1"/>
  <c r="BR4" i="2"/>
  <c r="CZ4" i="2" s="1"/>
  <c r="BR5" i="2"/>
  <c r="CZ5" i="2" s="1"/>
  <c r="BR6" i="2"/>
  <c r="CZ6" i="2" s="1"/>
  <c r="BR7" i="2"/>
  <c r="CZ7" i="2" s="1"/>
  <c r="BR8" i="2"/>
  <c r="CZ8" i="2" s="1"/>
  <c r="BR9" i="2"/>
  <c r="CZ9" i="2" s="1"/>
  <c r="BR10" i="2"/>
  <c r="CZ10" i="2" s="1"/>
  <c r="BR11" i="2"/>
  <c r="CZ11" i="2" s="1"/>
  <c r="BR12" i="2"/>
  <c r="CZ12" i="2" s="1"/>
  <c r="BR13" i="2"/>
  <c r="CZ13" i="2" s="1"/>
  <c r="BR14" i="2"/>
  <c r="CZ14" i="2" s="1"/>
  <c r="BR15" i="2"/>
  <c r="CZ15" i="2" s="1"/>
  <c r="BR16" i="2"/>
  <c r="CZ16" i="2" s="1"/>
  <c r="BR17" i="2"/>
  <c r="CZ17" i="2" s="1"/>
  <c r="BR18" i="2"/>
  <c r="CZ18" i="2" s="1"/>
  <c r="BR19" i="2"/>
  <c r="CZ19" i="2" s="1"/>
  <c r="BR20" i="2"/>
  <c r="CZ20" i="2" s="1"/>
  <c r="BR21" i="2"/>
  <c r="CZ21" i="2" s="1"/>
  <c r="BR22" i="2"/>
  <c r="CZ22" i="2" s="1"/>
  <c r="BR23" i="2"/>
  <c r="CZ23" i="2" s="1"/>
  <c r="BR24" i="2"/>
  <c r="CZ24" i="2" s="1"/>
  <c r="BR25" i="2"/>
  <c r="CZ25" i="2" s="1"/>
  <c r="BR26" i="2"/>
  <c r="CZ26" i="2" s="1"/>
  <c r="BR27" i="2"/>
  <c r="CZ27" i="2" s="1"/>
  <c r="BR28" i="2"/>
  <c r="CZ28" i="2" s="1"/>
  <c r="BR29" i="2"/>
  <c r="CZ29" i="2" s="1"/>
  <c r="BR30" i="2"/>
  <c r="CZ30" i="2" s="1"/>
  <c r="BR31" i="2"/>
  <c r="CZ31" i="2" s="1"/>
  <c r="BR32" i="2"/>
  <c r="CZ32" i="2" s="1"/>
  <c r="BR33" i="2"/>
  <c r="CZ33" i="2" s="1"/>
  <c r="BR34" i="2"/>
  <c r="CZ34" i="2" s="1"/>
  <c r="BR35" i="2"/>
  <c r="CZ35" i="2" s="1"/>
  <c r="BR36" i="2"/>
  <c r="CZ36" i="2" s="1"/>
  <c r="BR37" i="2"/>
  <c r="CZ37" i="2" s="1"/>
  <c r="BR38" i="2"/>
  <c r="CZ38" i="2" s="1"/>
  <c r="BR39" i="2"/>
  <c r="CZ39" i="2" s="1"/>
  <c r="BR40" i="2"/>
  <c r="CZ40" i="2" s="1"/>
  <c r="BR41" i="2"/>
  <c r="CZ41" i="2" s="1"/>
  <c r="BR42" i="2"/>
  <c r="CZ42" i="2" s="1"/>
  <c r="BR43" i="2"/>
  <c r="CZ43" i="2" s="1"/>
  <c r="BR44" i="2"/>
  <c r="CZ44" i="2" s="1"/>
  <c r="BR45" i="2"/>
  <c r="CZ45" i="2" s="1"/>
  <c r="BR46" i="2"/>
  <c r="CZ46" i="2" s="1"/>
  <c r="BR47" i="2"/>
  <c r="CZ47" i="2" s="1"/>
  <c r="BR48" i="2"/>
  <c r="CZ48" i="2" s="1"/>
  <c r="BR49" i="2"/>
  <c r="CZ49" i="2" s="1"/>
  <c r="BR50" i="2"/>
  <c r="CZ50" i="2" s="1"/>
  <c r="BR51" i="2"/>
  <c r="CZ51" i="2" s="1"/>
  <c r="BR52" i="2"/>
  <c r="CZ52" i="2" s="1"/>
  <c r="BR53" i="2"/>
  <c r="CZ53" i="2" s="1"/>
  <c r="BR54" i="2"/>
  <c r="CZ54" i="2" s="1"/>
  <c r="BR55" i="2"/>
  <c r="CZ55" i="2" s="1"/>
  <c r="BR56" i="2"/>
  <c r="CZ56" i="2" s="1"/>
  <c r="BR57" i="2"/>
  <c r="CZ57" i="2" s="1"/>
  <c r="BR58" i="2"/>
  <c r="CZ58" i="2" s="1"/>
  <c r="BR59" i="2"/>
  <c r="CZ59" i="2" s="1"/>
  <c r="BR60" i="2"/>
  <c r="CZ60" i="2" s="1"/>
  <c r="BR61" i="2"/>
  <c r="CZ61" i="2" s="1"/>
  <c r="BR62" i="2"/>
  <c r="CZ62" i="2" s="1"/>
  <c r="BR63" i="2"/>
  <c r="CZ63" i="2" s="1"/>
  <c r="BR64" i="2"/>
  <c r="CZ64" i="2" s="1"/>
  <c r="BR65" i="2"/>
  <c r="CZ65" i="2" s="1"/>
  <c r="BR66" i="2"/>
  <c r="CZ66" i="2" s="1"/>
  <c r="BR67" i="2"/>
  <c r="CZ67" i="2" s="1"/>
  <c r="BR68" i="2"/>
  <c r="CZ68" i="2" s="1"/>
  <c r="BR69" i="2"/>
  <c r="CZ69" i="2" s="1"/>
  <c r="BR70" i="2"/>
  <c r="CZ70" i="2" s="1"/>
  <c r="BR71" i="2"/>
  <c r="CZ71" i="2" s="1"/>
  <c r="BR72" i="2"/>
  <c r="CZ72" i="2" s="1"/>
  <c r="BR73" i="2"/>
  <c r="CZ73" i="2" s="1"/>
  <c r="BR74" i="2"/>
  <c r="CZ74" i="2" s="1"/>
  <c r="BR75" i="2"/>
  <c r="CZ75" i="2" s="1"/>
  <c r="BR76" i="2"/>
  <c r="CZ76" i="2" s="1"/>
  <c r="BR77" i="2"/>
  <c r="CZ77" i="2" s="1"/>
  <c r="BR78" i="2"/>
  <c r="CZ78" i="2" s="1"/>
  <c r="BR79" i="2"/>
  <c r="CZ79" i="2" s="1"/>
  <c r="BR2" i="2"/>
  <c r="CZ2" i="2" s="1"/>
  <c r="BH6" i="2"/>
  <c r="BI6" i="2" s="1"/>
  <c r="BH7" i="2"/>
  <c r="BI7" i="2" s="1"/>
  <c r="BH8" i="2"/>
  <c r="BI8" i="2" s="1"/>
  <c r="BH9" i="2"/>
  <c r="BI9" i="2" s="1"/>
  <c r="BH10" i="2"/>
  <c r="BI10" i="2" s="1"/>
  <c r="BH11" i="2"/>
  <c r="BI11" i="2" s="1"/>
  <c r="BH12" i="2"/>
  <c r="BI12" i="2" s="1"/>
  <c r="BH13" i="2"/>
  <c r="BI13" i="2" s="1"/>
  <c r="BH14" i="2"/>
  <c r="BI14" i="2" s="1"/>
  <c r="BH15" i="2"/>
  <c r="BI15" i="2" s="1"/>
  <c r="BH16" i="2"/>
  <c r="BI16" i="2" s="1"/>
  <c r="BH17" i="2"/>
  <c r="BI17" i="2" s="1"/>
  <c r="BH18" i="2"/>
  <c r="BI18" i="2" s="1"/>
  <c r="BH19" i="2"/>
  <c r="BI19" i="2" s="1"/>
  <c r="BH20" i="2"/>
  <c r="BI20" i="2" s="1"/>
  <c r="BH21" i="2"/>
  <c r="BI21" i="2" s="1"/>
  <c r="BH22" i="2"/>
  <c r="BI22" i="2" s="1"/>
  <c r="BH23" i="2"/>
  <c r="BI23" i="2" s="1"/>
  <c r="BH24" i="2"/>
  <c r="BI24" i="2" s="1"/>
  <c r="BH25" i="2"/>
  <c r="BI25" i="2" s="1"/>
  <c r="BH26" i="2"/>
  <c r="BI26" i="2" s="1"/>
  <c r="BH27" i="2"/>
  <c r="BI27" i="2" s="1"/>
  <c r="BH28" i="2"/>
  <c r="BI28" i="2" s="1"/>
  <c r="BH29" i="2"/>
  <c r="BI29" i="2" s="1"/>
  <c r="BH30" i="2"/>
  <c r="BI30" i="2" s="1"/>
  <c r="BH31" i="2"/>
  <c r="BI31" i="2" s="1"/>
  <c r="BH32" i="2"/>
  <c r="BI32" i="2" s="1"/>
  <c r="BH33" i="2"/>
  <c r="BI33" i="2" s="1"/>
  <c r="BH34" i="2"/>
  <c r="BI34" i="2" s="1"/>
  <c r="BH35" i="2"/>
  <c r="BI35" i="2" s="1"/>
  <c r="BH36" i="2"/>
  <c r="BI36" i="2" s="1"/>
  <c r="BH37" i="2"/>
  <c r="BI37" i="2" s="1"/>
  <c r="BH38" i="2"/>
  <c r="BI38" i="2" s="1"/>
  <c r="BH39" i="2"/>
  <c r="BI39" i="2" s="1"/>
  <c r="BH40" i="2"/>
  <c r="BI40" i="2" s="1"/>
  <c r="BH5" i="2"/>
  <c r="BI5" i="2" s="1"/>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6" i="2"/>
  <c r="AJ5"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E32" i="3"/>
  <c r="E30" i="3"/>
  <c r="E35" i="3"/>
  <c r="E31" i="3"/>
  <c r="E33" i="3"/>
  <c r="E34" i="3"/>
  <c r="EA2" i="2" l="1"/>
  <c r="DS2" i="2"/>
  <c r="DK2" i="2"/>
  <c r="DC2" i="2"/>
  <c r="DR2" i="2"/>
  <c r="DJ2" i="2"/>
  <c r="DI2" i="2"/>
  <c r="DN2" i="2"/>
  <c r="DZ2" i="2"/>
  <c r="DB2" i="2"/>
  <c r="DY2" i="2"/>
  <c r="DQ2" i="2"/>
  <c r="DF2" i="2"/>
  <c r="DX2" i="2"/>
  <c r="DP2" i="2"/>
  <c r="DH2" i="2"/>
  <c r="DW2" i="2"/>
  <c r="DO2" i="2"/>
  <c r="DV2" i="2"/>
  <c r="DU2" i="2"/>
  <c r="DM2" i="2"/>
  <c r="DE2" i="2"/>
  <c r="DL2" i="2"/>
  <c r="DD2" i="2"/>
  <c r="DG2" i="2"/>
  <c r="DT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9AB3FF-9B6A-462A-A5C2-C1AB567674D2}" keepAlive="1" name="Query - All_India_Index_Upto_April23-CPI data" description="Connection to the 'All_India_Index_Upto_April23-CPI data' query in the workbook." type="5" refreshedVersion="8" background="1" saveData="1">
    <dbPr connection="Provider=Microsoft.Mashup.OleDb.1;Data Source=$Workbook$;Location=&quot;All_India_Index_Upto_April23-CPI data&quot;;Extended Properties=&quot;&quot;" command="SELECT * FROM [All_India_Index_Upto_April23-CPI data]"/>
  </connection>
</connections>
</file>

<file path=xl/sharedStrings.xml><?xml version="1.0" encoding="utf-8"?>
<sst xmlns="http://schemas.openxmlformats.org/spreadsheetml/2006/main" count="1518" uniqueCount="132">
  <si>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</si>
  <si>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</si>
  <si>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</si>
  <si>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</si>
  <si>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</si>
  <si>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</si>
  <si>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</si>
  <si>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</si>
  <si>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</si>
  <si>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</si>
  <si>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</si>
  <si>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</si>
  <si>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</si>
  <si>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</si>
  <si>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</si>
  <si>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</si>
  <si>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</si>
  <si>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</si>
  <si>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</si>
  <si>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</si>
  <si>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</si>
  <si>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</si>
  <si>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</si>
  <si>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</si>
  <si>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</si>
  <si>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</si>
  <si>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</si>
  <si>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</si>
  <si>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</si>
  <si>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</si>
  <si>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</si>
  <si>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</si>
  <si>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</si>
  <si>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</si>
  <si>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</si>
  <si>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</si>
  <si>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</si>
  <si>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</si>
  <si>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</si>
  <si>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</si>
  <si>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</si>
  <si>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</si>
  <si>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</si>
  <si>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</si>
  <si>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</si>
  <si>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Food Bucket</t>
  </si>
  <si>
    <t>Recreation Bucket</t>
  </si>
  <si>
    <t>Housing bucket</t>
  </si>
  <si>
    <t>clothing bucket</t>
  </si>
  <si>
    <t>Health bucket</t>
  </si>
  <si>
    <t>MoM %</t>
  </si>
  <si>
    <t>Row Labels</t>
  </si>
  <si>
    <t>Grand Total</t>
  </si>
  <si>
    <t>Column Labels</t>
  </si>
  <si>
    <t>Sum of Food Bucket</t>
  </si>
  <si>
    <t>Sum of Recreation Bucket</t>
  </si>
  <si>
    <t>Sum of Housing bucket</t>
  </si>
  <si>
    <t>Sum of Health bucket</t>
  </si>
  <si>
    <t>Sum of clothing bucket</t>
  </si>
  <si>
    <t>Sum of Miscellaneous</t>
  </si>
  <si>
    <t>Sum of Education</t>
  </si>
  <si>
    <t>Sum of Fuel and light</t>
  </si>
  <si>
    <t>Sum of Transport and communication</t>
  </si>
  <si>
    <t>Buckets</t>
  </si>
  <si>
    <t xml:space="preserve"> Food Bucket</t>
  </si>
  <si>
    <t xml:space="preserve"> Recreation Bucket</t>
  </si>
  <si>
    <t xml:space="preserve"> Housing bucket</t>
  </si>
  <si>
    <t xml:space="preserve"> Health bucket</t>
  </si>
  <si>
    <t xml:space="preserve"> clothing bucket</t>
  </si>
  <si>
    <t xml:space="preserve"> Miscellaneous</t>
  </si>
  <si>
    <t xml:space="preserve"> Education</t>
  </si>
  <si>
    <t xml:space="preserve"> Fuel and light</t>
  </si>
  <si>
    <t xml:space="preserve"> Transport and communication</t>
  </si>
  <si>
    <t>Rural +Urban</t>
  </si>
  <si>
    <t>Sum of General index</t>
  </si>
  <si>
    <t>YoY%</t>
  </si>
  <si>
    <t>Sum of Cereals and products</t>
  </si>
  <si>
    <t>Sum of Meat and fish</t>
  </si>
  <si>
    <t>Sum of Egg</t>
  </si>
  <si>
    <t>Sum of Milk and products</t>
  </si>
  <si>
    <t>Sum of Oils and fats</t>
  </si>
  <si>
    <t>Sum of Fruits</t>
  </si>
  <si>
    <t>Sum of Vegetables</t>
  </si>
  <si>
    <t>Sum of Pulses and products</t>
  </si>
  <si>
    <t>Sum of Sugar and Confectionery</t>
  </si>
  <si>
    <t>Sum of Spices</t>
  </si>
  <si>
    <t>Sum of Non-alcoholic beverages</t>
  </si>
  <si>
    <t>Sum of Prepared meals, snacks, sweets etc.</t>
  </si>
  <si>
    <t>Sum of Food and beverages</t>
  </si>
  <si>
    <t>Sum of Pan, tobacco and intoxicants</t>
  </si>
  <si>
    <t>Sum of Clothing</t>
  </si>
  <si>
    <t>Sum of Footwear</t>
  </si>
  <si>
    <t>Sum of Clothing and footwear</t>
  </si>
  <si>
    <t>Sum of Housing</t>
  </si>
  <si>
    <t>Sum of Household goods and services</t>
  </si>
  <si>
    <t>Sum of Health</t>
  </si>
  <si>
    <t>Sum of Recreation and amusement</t>
  </si>
  <si>
    <t>Sum of Personal care and effects</t>
  </si>
  <si>
    <t>Sum of MoM %</t>
  </si>
  <si>
    <t>1st</t>
  </si>
  <si>
    <t>2nd</t>
  </si>
  <si>
    <t>QUE.4</t>
  </si>
  <si>
    <t>QUE.3</t>
  </si>
  <si>
    <t>Total Sum of Meat and fish</t>
  </si>
  <si>
    <t>Total Sum of Oils and fats</t>
  </si>
  <si>
    <t>Total Sum of Prepared meals, snacks, sweets etc.</t>
  </si>
  <si>
    <t>Month-Year</t>
  </si>
  <si>
    <t>Oil price</t>
  </si>
  <si>
    <t>Oil Price</t>
  </si>
  <si>
    <t>Total Sum of Oil Price</t>
  </si>
  <si>
    <t>Sum of Oil Price</t>
  </si>
  <si>
    <t>QUE 5</t>
  </si>
  <si>
    <t>FOOD MOM</t>
  </si>
  <si>
    <t>ABSOLUTE CHANGE %</t>
  </si>
  <si>
    <t>Total Sum of Food and beverages</t>
  </si>
  <si>
    <t>Total Sum of Transport and communication</t>
  </si>
  <si>
    <t>Total Sum of Recreation and amusement</t>
  </si>
  <si>
    <t>Total Sum of Fuel and light</t>
  </si>
  <si>
    <t>Sum of FOOD MOM</t>
  </si>
  <si>
    <t>Sum of ABSOLUTE CHANGE %</t>
  </si>
  <si>
    <t>Total Sum of Clothing</t>
  </si>
  <si>
    <t>Total Sum of Miscellaneous</t>
  </si>
  <si>
    <r>
      <t xml:space="preserve">This chart shows that </t>
    </r>
    <r>
      <rPr>
        <b/>
        <sz val="11"/>
        <color theme="1"/>
        <rFont val="Aptos Narrow"/>
        <family val="2"/>
        <scheme val="minor"/>
      </rPr>
      <t>oil prices (light blue line) are highly volatile</t>
    </r>
    <r>
      <rPr>
        <sz val="11"/>
        <color theme="1"/>
        <rFont val="Aptos Narrow"/>
        <family val="2"/>
        <scheme val="minor"/>
      </rPr>
      <t xml:space="preserve">, peaking around mid-2022 before dropping, while other categories like </t>
    </r>
    <r>
      <rPr>
        <b/>
        <sz val="11"/>
        <color theme="1"/>
        <rFont val="Aptos Narrow"/>
        <family val="2"/>
        <scheme val="minor"/>
      </rPr>
      <t>meat, oils, food, and clothing rise steadily</t>
    </r>
    <r>
      <rPr>
        <sz val="11"/>
        <color theme="1"/>
        <rFont val="Aptos Narrow"/>
        <family val="2"/>
        <scheme val="minor"/>
      </rPr>
      <t xml:space="preserve"> over time. It highlights that </t>
    </r>
    <r>
      <rPr>
        <b/>
        <sz val="11"/>
        <color theme="1"/>
        <rFont val="Aptos Narrow"/>
        <family val="2"/>
        <scheme val="minor"/>
      </rPr>
      <t>fuel and light expenses are most directly impacted by oil price fluctuations</t>
    </r>
    <r>
      <rPr>
        <sz val="11"/>
        <color theme="1"/>
        <rFont val="Aptos Narrow"/>
        <family val="2"/>
        <scheme val="minor"/>
      </rPr>
      <t>, whereas other essentials show smoother, consistent growth.</t>
    </r>
  </si>
  <si>
    <t>SECTOR RURAL +URBAN</t>
  </si>
  <si>
    <t>CPI 2019</t>
  </si>
  <si>
    <t>AVERAGE</t>
  </si>
  <si>
    <t>MOM CPI</t>
  </si>
  <si>
    <t>Latest Month Biggest Contributor</t>
  </si>
  <si>
    <t>YOY CPI (R+U) % Trend</t>
  </si>
  <si>
    <t xml:space="preserve">Food Bucket inflation </t>
  </si>
  <si>
    <t>Covid Impact</t>
  </si>
  <si>
    <t>Imported Oil price Fluctuations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</si>
</sst>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2"/>
      <color rgb="FF000000"/>
      <name val="Times New Roman"/>
      <family val="1"/>
    </font>
    <font>
      <b/>
      <sz val="11"/>
      <color theme="0"/>
      <name val="Aptos Narrow"/>
      <family val="2"/>
      <scheme val="minor"/>
    </font>
    <font>
      <b/>
      <sz val="11"/>
      <color theme="1"/>
      <name val="Aptos Narrow"/>
      <family val="2"/>
      <scheme val="minor"/>
    </font>
    <font>
      <sz val="12"/>
      <color theme="1"/>
      <name val="Calibri"/>
      <family val="2"/>
    </font>
  </fonts>
  <fills count="7">
    <fill>
      <patternFill patternType="none"/>
    </fill>
    <fill>
      <patternFill patternType="gray125"/>
    </fill>
    <fill>
      <patternFill patternType="solid">
        <fgColor theme="2" tint="-9.9978637043366805E-2"/>
        <bgColor indexed="64"/>
      </patternFill>
    </fill>
    <fill>
      <patternFill patternType="solid">
        <fgColor theme="9"/>
        <bgColor theme="9"/>
      </patternFill>
    </fill>
    <fill>
      <patternFill patternType="solid">
        <fgColor theme="3" tint="0.89999084444715716"/>
        <bgColor indexed="64"/>
      </patternFill>
    </fill>
    <fill>
      <patternFill patternType="solid">
        <fgColor theme="9" tint="0.79998168889431442"/>
        <bgColor theme="9" tint="0.79998168889431442"/>
      </patternFill>
    </fill>
    <fill>
      <patternFill patternType="solid">
        <fgColor theme="4" tint="0.79998168889431442"/>
        <bgColor theme="4" tint="0.79998168889431442"/>
      </patternFill>
    </fill>
  </fills>
  <borders count="5">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0" fontId="1" fillId="0" borderId="0"/>
  </cellStyleXfs>
  <cellXfs count="26">
    <xf numFmtId="0" fontId="0" fillId="0" borderId="0" xfId="0"/>
    <xf numFmtId="9" fontId="0" fillId="0" borderId="0" xfId="1" applyFon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9" fontId="0" fillId="0" borderId="0" xfId="0" applyNumberFormat="1"/>
    <xf numFmtId="0" fontId="2" fillId="0" borderId="2" xfId="2" applyFont="1" applyBorder="1" applyAlignment="1">
      <alignment horizontal="right" vertical="center"/>
    </xf>
    <xf numFmtId="14" fontId="2" fillId="0" borderId="2" xfId="2" applyNumberFormat="1" applyFont="1" applyBorder="1"/>
    <xf numFmtId="14" fontId="0" fillId="0" borderId="0" xfId="0" applyNumberFormat="1"/>
    <xf numFmtId="0" fontId="3" fillId="3" borderId="1" xfId="0" applyFont="1" applyFill="1" applyBorder="1"/>
    <xf numFmtId="0" fontId="0" fillId="4" borderId="0" xfId="0" applyFill="1"/>
    <xf numFmtId="0" fontId="0" fillId="5" borderId="3" xfId="0" applyFill="1" applyBorder="1"/>
    <xf numFmtId="0" fontId="0" fillId="5" borderId="1" xfId="0" applyFill="1" applyBorder="1"/>
    <xf numFmtId="0" fontId="0" fillId="0" borderId="3" xfId="0" applyBorder="1"/>
    <xf numFmtId="0" fontId="0" fillId="0" borderId="1" xfId="0" applyBorder="1"/>
    <xf numFmtId="0" fontId="4" fillId="6" borderId="4" xfId="0" applyFont="1" applyFill="1" applyBorder="1"/>
    <xf numFmtId="0" fontId="3" fillId="3" borderId="3" xfId="0" applyFont="1" applyFill="1" applyBorder="1"/>
    <xf numFmtId="2" fontId="0" fillId="5" borderId="1" xfId="0" applyNumberFormat="1" applyFill="1" applyBorder="1"/>
    <xf numFmtId="2" fontId="0" fillId="0" borderId="1" xfId="0" applyNumberFormat="1" applyBorder="1"/>
    <xf numFmtId="0" fontId="3" fillId="3" borderId="0" xfId="0" applyFont="1" applyFill="1"/>
    <xf numFmtId="2" fontId="0" fillId="5" borderId="0" xfId="0" applyNumberFormat="1" applyFill="1"/>
    <xf numFmtId="0" fontId="5" fillId="2" borderId="0" xfId="0" applyFont="1" applyFill="1" applyAlignment="1">
      <alignment horizontal="center"/>
    </xf>
    <xf numFmtId="0" fontId="0" fillId="2" borderId="0" xfId="0" applyFill="1" applyAlignment="1">
      <alignment horizontal="center"/>
    </xf>
  </cellXfs>
  <cellStyles count="3">
    <cellStyle name="Normal" xfId="0" builtinId="0"/>
    <cellStyle name="Normal 2" xfId="2" xr:uid="{5218148D-E5D5-48EA-9A5E-900CAB060270}"/>
    <cellStyle name="Percent" xfId="1" builtinId="5"/>
  </cellStyles>
  <dxfs count="84">
    <dxf>
      <font>
        <b val="0"/>
        <i val="0"/>
        <strike val="0"/>
        <condense val="0"/>
        <extend val="0"/>
        <outline val="0"/>
        <shadow val="0"/>
        <u val="none"/>
        <vertAlign val="baseline"/>
        <sz val="11"/>
        <color theme="1"/>
        <name val="Aptos Narrow"/>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Rural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Pivot!$B$15</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77DD-4BA6-AA3E-7E3B1943783E}"/>
              </c:ext>
            </c:extLst>
          </c:dPt>
          <c:dPt>
            <c:idx val="1"/>
            <c:invertIfNegative val="0"/>
            <c:bubble3D val="0"/>
            <c:extLst>
              <c:ext xmlns:c16="http://schemas.microsoft.com/office/drawing/2014/chart" uri="{C3380CC4-5D6E-409C-BE32-E72D297353CC}">
                <c16:uniqueId val="{00000003-77DD-4BA6-AA3E-7E3B1943783E}"/>
              </c:ext>
            </c:extLst>
          </c:dPt>
          <c:dPt>
            <c:idx val="2"/>
            <c:invertIfNegative val="0"/>
            <c:bubble3D val="0"/>
            <c:extLst>
              <c:ext xmlns:c16="http://schemas.microsoft.com/office/drawing/2014/chart" uri="{C3380CC4-5D6E-409C-BE32-E72D297353CC}">
                <c16:uniqueId val="{00000005-77DD-4BA6-AA3E-7E3B1943783E}"/>
              </c:ext>
            </c:extLst>
          </c:dPt>
          <c:dPt>
            <c:idx val="3"/>
            <c:invertIfNegative val="0"/>
            <c:bubble3D val="0"/>
            <c:extLst>
              <c:ext xmlns:c16="http://schemas.microsoft.com/office/drawing/2014/chart" uri="{C3380CC4-5D6E-409C-BE32-E72D297353CC}">
                <c16:uniqueId val="{00000007-77DD-4BA6-AA3E-7E3B1943783E}"/>
              </c:ext>
            </c:extLst>
          </c:dPt>
          <c:dPt>
            <c:idx val="4"/>
            <c:invertIfNegative val="0"/>
            <c:bubble3D val="0"/>
            <c:extLst>
              <c:ext xmlns:c16="http://schemas.microsoft.com/office/drawing/2014/chart" uri="{C3380CC4-5D6E-409C-BE32-E72D297353CC}">
                <c16:uniqueId val="{00000009-77DD-4BA6-AA3E-7E3B1943783E}"/>
              </c:ext>
            </c:extLst>
          </c:dPt>
          <c:dPt>
            <c:idx val="5"/>
            <c:invertIfNegative val="0"/>
            <c:bubble3D val="0"/>
            <c:extLst>
              <c:ext xmlns:c16="http://schemas.microsoft.com/office/drawing/2014/chart" uri="{C3380CC4-5D6E-409C-BE32-E72D297353CC}">
                <c16:uniqueId val="{0000000B-77DD-4BA6-AA3E-7E3B1943783E}"/>
              </c:ext>
            </c:extLst>
          </c:dPt>
          <c:dPt>
            <c:idx val="6"/>
            <c:invertIfNegative val="0"/>
            <c:bubble3D val="0"/>
            <c:extLst>
              <c:ext xmlns:c16="http://schemas.microsoft.com/office/drawing/2014/chart" uri="{C3380CC4-5D6E-409C-BE32-E72D297353CC}">
                <c16:uniqueId val="{0000000D-77DD-4BA6-AA3E-7E3B1943783E}"/>
              </c:ext>
            </c:extLst>
          </c:dPt>
          <c:dPt>
            <c:idx val="7"/>
            <c:invertIfNegative val="0"/>
            <c:bubble3D val="0"/>
            <c:extLst>
              <c:ext xmlns:c16="http://schemas.microsoft.com/office/drawing/2014/chart" uri="{C3380CC4-5D6E-409C-BE32-E72D297353CC}">
                <c16:uniqueId val="{0000000F-77DD-4BA6-AA3E-7E3B1943783E}"/>
              </c:ext>
            </c:extLst>
          </c:dPt>
          <c:dPt>
            <c:idx val="8"/>
            <c:invertIfNegative val="0"/>
            <c:bubble3D val="0"/>
            <c:extLst>
              <c:ext xmlns:c16="http://schemas.microsoft.com/office/drawing/2014/chart" uri="{C3380CC4-5D6E-409C-BE32-E72D297353CC}">
                <c16:uniqueId val="{00000011-77DD-4BA6-AA3E-7E3B194378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Pivot!$A$16:$A$24</c:f>
              <c:strCache>
                <c:ptCount val="9"/>
                <c:pt idx="0">
                  <c:v> Food Bucket</c:v>
                </c:pt>
                <c:pt idx="1">
                  <c:v> Recreation Bucket</c:v>
                </c:pt>
                <c:pt idx="2">
                  <c:v> Housing bucket</c:v>
                </c:pt>
                <c:pt idx="3">
                  <c:v> Health bucket</c:v>
                </c:pt>
                <c:pt idx="4">
                  <c:v> clothing bucket</c:v>
                </c:pt>
                <c:pt idx="5">
                  <c:v> Miscellaneous</c:v>
                </c:pt>
                <c:pt idx="6">
                  <c:v> Education</c:v>
                </c:pt>
                <c:pt idx="7">
                  <c:v> Fuel and light</c:v>
                </c:pt>
                <c:pt idx="8">
                  <c:v> Transport and communication</c:v>
                </c:pt>
              </c:strCache>
            </c:strRef>
          </c:cat>
          <c:val>
            <c:numRef>
              <c:f>Pivot!$B$16:$B$24</c:f>
              <c:numCache>
                <c:formatCode>General</c:formatCode>
                <c:ptCount val="9"/>
                <c:pt idx="0">
                  <c:v>176.20769230769235</c:v>
                </c:pt>
                <c:pt idx="1">
                  <c:v>186.85000000000002</c:v>
                </c:pt>
                <c:pt idx="2">
                  <c:v>89.9</c:v>
                </c:pt>
                <c:pt idx="3">
                  <c:v>186.35000000000002</c:v>
                </c:pt>
                <c:pt idx="4">
                  <c:v>189.9666666666667</c:v>
                </c:pt>
                <c:pt idx="5">
                  <c:v>179.5</c:v>
                </c:pt>
                <c:pt idx="6">
                  <c:v>180.3</c:v>
                </c:pt>
                <c:pt idx="7">
                  <c:v>182.5</c:v>
                </c:pt>
                <c:pt idx="8">
                  <c:v>169.7</c:v>
                </c:pt>
              </c:numCache>
            </c:numRef>
          </c:val>
          <c:extLst>
            <c:ext xmlns:c16="http://schemas.microsoft.com/office/drawing/2014/chart" uri="{C3380CC4-5D6E-409C-BE32-E72D297353CC}">
              <c16:uniqueId val="{00000012-77DD-4BA6-AA3E-7E3B1943783E}"/>
            </c:ext>
          </c:extLst>
        </c:ser>
        <c:dLbls>
          <c:showLegendKey val="0"/>
          <c:showVal val="0"/>
          <c:showCatName val="0"/>
          <c:showSerName val="0"/>
          <c:showPercent val="0"/>
          <c:showBubbleSize val="0"/>
        </c:dLbls>
        <c:gapWidth val="100"/>
        <c:overlap val="-24"/>
        <c:axId val="1900929232"/>
        <c:axId val="1900929712"/>
      </c:barChart>
      <c:catAx>
        <c:axId val="1900929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0929712"/>
        <c:crosses val="autoZero"/>
        <c:auto val="1"/>
        <c:lblAlgn val="ctr"/>
        <c:lblOffset val="100"/>
        <c:noMultiLvlLbl val="0"/>
      </c:catAx>
      <c:valAx>
        <c:axId val="190092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0929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Pivot!$C$15</c:f>
              <c:strCache>
                <c:ptCount val="1"/>
                <c:pt idx="0">
                  <c:v>Urban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12BD-4D4A-8490-D8DBF334502F}"/>
              </c:ext>
            </c:extLst>
          </c:dPt>
          <c:dPt>
            <c:idx val="1"/>
            <c:invertIfNegative val="0"/>
            <c:bubble3D val="0"/>
            <c:extLst>
              <c:ext xmlns:c16="http://schemas.microsoft.com/office/drawing/2014/chart" uri="{C3380CC4-5D6E-409C-BE32-E72D297353CC}">
                <c16:uniqueId val="{00000003-12BD-4D4A-8490-D8DBF334502F}"/>
              </c:ext>
            </c:extLst>
          </c:dPt>
          <c:dPt>
            <c:idx val="2"/>
            <c:invertIfNegative val="0"/>
            <c:bubble3D val="0"/>
            <c:extLst>
              <c:ext xmlns:c16="http://schemas.microsoft.com/office/drawing/2014/chart" uri="{C3380CC4-5D6E-409C-BE32-E72D297353CC}">
                <c16:uniqueId val="{00000005-12BD-4D4A-8490-D8DBF334502F}"/>
              </c:ext>
            </c:extLst>
          </c:dPt>
          <c:dPt>
            <c:idx val="3"/>
            <c:invertIfNegative val="0"/>
            <c:bubble3D val="0"/>
            <c:extLst>
              <c:ext xmlns:c16="http://schemas.microsoft.com/office/drawing/2014/chart" uri="{C3380CC4-5D6E-409C-BE32-E72D297353CC}">
                <c16:uniqueId val="{00000007-12BD-4D4A-8490-D8DBF334502F}"/>
              </c:ext>
            </c:extLst>
          </c:dPt>
          <c:dPt>
            <c:idx val="4"/>
            <c:invertIfNegative val="0"/>
            <c:bubble3D val="0"/>
            <c:extLst>
              <c:ext xmlns:c16="http://schemas.microsoft.com/office/drawing/2014/chart" uri="{C3380CC4-5D6E-409C-BE32-E72D297353CC}">
                <c16:uniqueId val="{00000009-12BD-4D4A-8490-D8DBF334502F}"/>
              </c:ext>
            </c:extLst>
          </c:dPt>
          <c:dPt>
            <c:idx val="5"/>
            <c:invertIfNegative val="0"/>
            <c:bubble3D val="0"/>
            <c:extLst>
              <c:ext xmlns:c16="http://schemas.microsoft.com/office/drawing/2014/chart" uri="{C3380CC4-5D6E-409C-BE32-E72D297353CC}">
                <c16:uniqueId val="{0000000B-12BD-4D4A-8490-D8DBF334502F}"/>
              </c:ext>
            </c:extLst>
          </c:dPt>
          <c:dPt>
            <c:idx val="6"/>
            <c:invertIfNegative val="0"/>
            <c:bubble3D val="0"/>
            <c:extLst>
              <c:ext xmlns:c16="http://schemas.microsoft.com/office/drawing/2014/chart" uri="{C3380CC4-5D6E-409C-BE32-E72D297353CC}">
                <c16:uniqueId val="{0000000D-12BD-4D4A-8490-D8DBF334502F}"/>
              </c:ext>
            </c:extLst>
          </c:dPt>
          <c:dPt>
            <c:idx val="7"/>
            <c:invertIfNegative val="0"/>
            <c:bubble3D val="0"/>
            <c:extLst>
              <c:ext xmlns:c16="http://schemas.microsoft.com/office/drawing/2014/chart" uri="{C3380CC4-5D6E-409C-BE32-E72D297353CC}">
                <c16:uniqueId val="{0000000F-12BD-4D4A-8490-D8DBF334502F}"/>
              </c:ext>
            </c:extLst>
          </c:dPt>
          <c:dPt>
            <c:idx val="8"/>
            <c:invertIfNegative val="0"/>
            <c:bubble3D val="0"/>
            <c:extLst>
              <c:ext xmlns:c16="http://schemas.microsoft.com/office/drawing/2014/chart" uri="{C3380CC4-5D6E-409C-BE32-E72D297353CC}">
                <c16:uniqueId val="{00000011-12BD-4D4A-8490-D8DBF33450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Pivot!$A$16:$A$24</c:f>
              <c:strCache>
                <c:ptCount val="9"/>
                <c:pt idx="0">
                  <c:v> Food Bucket</c:v>
                </c:pt>
                <c:pt idx="1">
                  <c:v> Recreation Bucket</c:v>
                </c:pt>
                <c:pt idx="2">
                  <c:v> Housing bucket</c:v>
                </c:pt>
                <c:pt idx="3">
                  <c:v> Health bucket</c:v>
                </c:pt>
                <c:pt idx="4">
                  <c:v> clothing bucket</c:v>
                </c:pt>
                <c:pt idx="5">
                  <c:v> Miscellaneous</c:v>
                </c:pt>
                <c:pt idx="6">
                  <c:v> Education</c:v>
                </c:pt>
                <c:pt idx="7">
                  <c:v> Fuel and light</c:v>
                </c:pt>
                <c:pt idx="8">
                  <c:v> Transport and communication</c:v>
                </c:pt>
              </c:strCache>
            </c:strRef>
          </c:cat>
          <c:val>
            <c:numRef>
              <c:f>Pivot!$C$16:$C$24</c:f>
              <c:numCache>
                <c:formatCode>General</c:formatCode>
                <c:ptCount val="9"/>
                <c:pt idx="0">
                  <c:v>177.45384615384617</c:v>
                </c:pt>
                <c:pt idx="1">
                  <c:v>186.1</c:v>
                </c:pt>
                <c:pt idx="2">
                  <c:v>175.39999999999998</c:v>
                </c:pt>
                <c:pt idx="3">
                  <c:v>185.45</c:v>
                </c:pt>
                <c:pt idx="4">
                  <c:v>184.4</c:v>
                </c:pt>
                <c:pt idx="5">
                  <c:v>175.7</c:v>
                </c:pt>
                <c:pt idx="6">
                  <c:v>177.1</c:v>
                </c:pt>
                <c:pt idx="7">
                  <c:v>182.8</c:v>
                </c:pt>
                <c:pt idx="8">
                  <c:v>164.8</c:v>
                </c:pt>
              </c:numCache>
            </c:numRef>
          </c:val>
          <c:extLst>
            <c:ext xmlns:c16="http://schemas.microsoft.com/office/drawing/2014/chart" uri="{C3380CC4-5D6E-409C-BE32-E72D297353CC}">
              <c16:uniqueId val="{00000012-12BD-4D4A-8490-D8DBF334502F}"/>
            </c:ext>
          </c:extLst>
        </c:ser>
        <c:dLbls>
          <c:showLegendKey val="0"/>
          <c:showVal val="0"/>
          <c:showCatName val="0"/>
          <c:showSerName val="0"/>
          <c:showPercent val="0"/>
          <c:showBubbleSize val="0"/>
        </c:dLbls>
        <c:gapWidth val="100"/>
        <c:overlap val="-24"/>
        <c:axId val="1319601599"/>
        <c:axId val="1319595359"/>
      </c:barChart>
      <c:catAx>
        <c:axId val="1319601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595359"/>
        <c:crosses val="autoZero"/>
        <c:auto val="1"/>
        <c:lblAlgn val="ctr"/>
        <c:lblOffset val="100"/>
        <c:noMultiLvlLbl val="0"/>
      </c:catAx>
      <c:valAx>
        <c:axId val="131959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601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Pivot!$D$15</c:f>
              <c:strCache>
                <c:ptCount val="1"/>
                <c:pt idx="0">
                  <c:v>Rural +Urban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E22-418E-87A4-CDD04AA3F6C7}"/>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E22-418E-87A4-CDD04AA3F6C7}"/>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E22-418E-87A4-CDD04AA3F6C7}"/>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E22-418E-87A4-CDD04AA3F6C7}"/>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E22-418E-87A4-CDD04AA3F6C7}"/>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E22-418E-87A4-CDD04AA3F6C7}"/>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E22-418E-87A4-CDD04AA3F6C7}"/>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E22-418E-87A4-CDD04AA3F6C7}"/>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E22-418E-87A4-CDD04AA3F6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Pivot!$A$16:$A$24</c:f>
              <c:strCache>
                <c:ptCount val="9"/>
                <c:pt idx="0">
                  <c:v> Food Bucket</c:v>
                </c:pt>
                <c:pt idx="1">
                  <c:v> Recreation Bucket</c:v>
                </c:pt>
                <c:pt idx="2">
                  <c:v> Housing bucket</c:v>
                </c:pt>
                <c:pt idx="3">
                  <c:v> Health bucket</c:v>
                </c:pt>
                <c:pt idx="4">
                  <c:v> clothing bucket</c:v>
                </c:pt>
                <c:pt idx="5">
                  <c:v> Miscellaneous</c:v>
                </c:pt>
                <c:pt idx="6">
                  <c:v> Education</c:v>
                </c:pt>
                <c:pt idx="7">
                  <c:v> Fuel and light</c:v>
                </c:pt>
                <c:pt idx="8">
                  <c:v> Transport and communication</c:v>
                </c:pt>
              </c:strCache>
            </c:strRef>
          </c:cat>
          <c:val>
            <c:numRef>
              <c:f>Pivot!$D$16:$D$24</c:f>
              <c:numCache>
                <c:formatCode>0.00</c:formatCode>
                <c:ptCount val="9"/>
                <c:pt idx="0">
                  <c:v>179.62307692307692</c:v>
                </c:pt>
                <c:pt idx="1">
                  <c:v>186.7</c:v>
                </c:pt>
                <c:pt idx="2">
                  <c:v>172.85</c:v>
                </c:pt>
                <c:pt idx="3">
                  <c:v>183.89999999999998</c:v>
                </c:pt>
                <c:pt idx="4">
                  <c:v>176.23333333333335</c:v>
                </c:pt>
                <c:pt idx="5">
                  <c:v>171.6</c:v>
                </c:pt>
                <c:pt idx="6">
                  <c:v>174.8</c:v>
                </c:pt>
                <c:pt idx="7">
                  <c:v>183.4</c:v>
                </c:pt>
                <c:pt idx="8">
                  <c:v>160.4</c:v>
                </c:pt>
              </c:numCache>
            </c:numRef>
          </c:val>
          <c:extLst>
            <c:ext xmlns:c16="http://schemas.microsoft.com/office/drawing/2014/chart" uri="{C3380CC4-5D6E-409C-BE32-E72D297353CC}">
              <c16:uniqueId val="{00000012-6E22-418E-87A4-CDD04AA3F6C7}"/>
            </c:ext>
          </c:extLst>
        </c:ser>
        <c:dLbls>
          <c:showLegendKey val="0"/>
          <c:showVal val="0"/>
          <c:showCatName val="0"/>
          <c:showSerName val="0"/>
          <c:showPercent val="0"/>
          <c:showBubbleSize val="0"/>
        </c:dLbls>
        <c:gapWidth val="100"/>
        <c:overlap val="-24"/>
        <c:axId val="1900933072"/>
        <c:axId val="1900926832"/>
      </c:barChart>
      <c:catAx>
        <c:axId val="1900933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0926832"/>
        <c:crosses val="autoZero"/>
        <c:auto val="1"/>
        <c:lblAlgn val="ctr"/>
        <c:lblOffset val="100"/>
        <c:noMultiLvlLbl val="0"/>
      </c:catAx>
      <c:valAx>
        <c:axId val="19009268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0933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baseline="0">
                <a:solidFill>
                  <a:schemeClr val="bg1"/>
                </a:solidFill>
              </a:rPr>
              <a:t>YoY CPI(R+U)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841221385391477"/>
          <c:y val="0.11083054575746137"/>
          <c:w val="0.77834362717425376"/>
          <c:h val="0.77326589286622072"/>
        </c:manualLayout>
      </c:layout>
      <c:lineChart>
        <c:grouping val="standard"/>
        <c:varyColors val="0"/>
        <c:ser>
          <c:idx val="0"/>
          <c:order val="0"/>
          <c:tx>
            <c:strRef>
              <c:f>Pivot!$E$29</c:f>
              <c:strCache>
                <c:ptCount val="1"/>
                <c:pt idx="0">
                  <c:v>YoY%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Pivot!$D$30:$D$35</c:f>
              <c:numCache>
                <c:formatCode>General</c:formatCode>
                <c:ptCount val="6"/>
                <c:pt idx="0">
                  <c:v>2017</c:v>
                </c:pt>
                <c:pt idx="1">
                  <c:v>2018</c:v>
                </c:pt>
                <c:pt idx="2">
                  <c:v>2019</c:v>
                </c:pt>
                <c:pt idx="3">
                  <c:v>2020</c:v>
                </c:pt>
                <c:pt idx="4">
                  <c:v>2021</c:v>
                </c:pt>
                <c:pt idx="5">
                  <c:v>2022</c:v>
                </c:pt>
              </c:numCache>
            </c:numRef>
          </c:cat>
          <c:val>
            <c:numRef>
              <c:f>Pivot!$E$30:$E$35</c:f>
              <c:numCache>
                <c:formatCode>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F828-40F6-8683-6900C57D2748}"/>
            </c:ext>
          </c:extLst>
        </c:ser>
        <c:dLbls>
          <c:dLblPos val="t"/>
          <c:showLegendKey val="0"/>
          <c:showVal val="1"/>
          <c:showCatName val="0"/>
          <c:showSerName val="0"/>
          <c:showPercent val="0"/>
          <c:showBubbleSize val="0"/>
        </c:dLbls>
        <c:smooth val="0"/>
        <c:axId val="1982353999"/>
        <c:axId val="345586191"/>
      </c:lineChart>
      <c:catAx>
        <c:axId val="19823539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5586191"/>
        <c:crosses val="autoZero"/>
        <c:auto val="1"/>
        <c:lblAlgn val="ctr"/>
        <c:lblOffset val="100"/>
        <c:noMultiLvlLbl val="0"/>
      </c:catAx>
      <c:valAx>
        <c:axId val="3455861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235399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CASE.xlsx]Pivot!PivotTable3</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0903650340298"/>
          <c:y val="5.7964999378508533E-2"/>
          <c:w val="0.55150088569107547"/>
          <c:h val="0.82424221338629777"/>
        </c:manualLayout>
      </c:layout>
      <c:barChart>
        <c:barDir val="col"/>
        <c:grouping val="clustered"/>
        <c:varyColors val="0"/>
        <c:ser>
          <c:idx val="0"/>
          <c:order val="0"/>
          <c:tx>
            <c:strRef>
              <c:f>Pivot!$B$52</c:f>
              <c:strCache>
                <c:ptCount val="1"/>
                <c:pt idx="0">
                  <c:v>Sum of Cereals and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Pivot!$B$53:$B$55</c:f>
              <c:numCache>
                <c:formatCode>0.00</c:formatCode>
                <c:ptCount val="1"/>
                <c:pt idx="0">
                  <c:v>1537.6</c:v>
                </c:pt>
              </c:numCache>
            </c:numRef>
          </c:val>
          <c:extLst>
            <c:ext xmlns:c16="http://schemas.microsoft.com/office/drawing/2014/chart" uri="{C3380CC4-5D6E-409C-BE32-E72D297353CC}">
              <c16:uniqueId val="{00000000-736B-4994-9766-A3F25F207377}"/>
            </c:ext>
          </c:extLst>
        </c:ser>
        <c:ser>
          <c:idx val="1"/>
          <c:order val="1"/>
          <c:tx>
            <c:strRef>
              <c:f>Pivot!$C$52</c:f>
              <c:strCache>
                <c:ptCount val="1"/>
                <c:pt idx="0">
                  <c:v>Sum of Meat and fish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Pivot!$C$53:$C$55</c:f>
              <c:numCache>
                <c:formatCode>0.00</c:formatCode>
                <c:ptCount val="1"/>
                <c:pt idx="0">
                  <c:v>1750.3</c:v>
                </c:pt>
              </c:numCache>
            </c:numRef>
          </c:val>
          <c:extLst>
            <c:ext xmlns:c16="http://schemas.microsoft.com/office/drawing/2014/chart" uri="{C3380CC4-5D6E-409C-BE32-E72D297353CC}">
              <c16:uniqueId val="{00000001-736B-4994-9766-A3F25F207377}"/>
            </c:ext>
          </c:extLst>
        </c:ser>
        <c:ser>
          <c:idx val="2"/>
          <c:order val="2"/>
          <c:tx>
            <c:strRef>
              <c:f>Pivot!$D$52</c:f>
              <c:strCache>
                <c:ptCount val="1"/>
                <c:pt idx="0">
                  <c:v>Sum of Egg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Pivot!$D$53:$D$55</c:f>
              <c:numCache>
                <c:formatCode>0.00</c:formatCode>
                <c:ptCount val="1"/>
                <c:pt idx="0">
                  <c:v>1553.2</c:v>
                </c:pt>
              </c:numCache>
            </c:numRef>
          </c:val>
          <c:extLst>
            <c:ext xmlns:c16="http://schemas.microsoft.com/office/drawing/2014/chart" uri="{C3380CC4-5D6E-409C-BE32-E72D297353CC}">
              <c16:uniqueId val="{00000002-736B-4994-9766-A3F25F207377}"/>
            </c:ext>
          </c:extLst>
        </c:ser>
        <c:ser>
          <c:idx val="3"/>
          <c:order val="3"/>
          <c:tx>
            <c:strRef>
              <c:f>Pivot!$E$52</c:f>
              <c:strCache>
                <c:ptCount val="1"/>
                <c:pt idx="0">
                  <c:v>Sum of Milk and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Pivot!$E$53:$E$55</c:f>
              <c:numCache>
                <c:formatCode>0.00</c:formatCode>
                <c:ptCount val="1"/>
                <c:pt idx="0">
                  <c:v>1587.6999999999998</c:v>
                </c:pt>
              </c:numCache>
            </c:numRef>
          </c:val>
          <c:extLst>
            <c:ext xmlns:c16="http://schemas.microsoft.com/office/drawing/2014/chart" uri="{C3380CC4-5D6E-409C-BE32-E72D297353CC}">
              <c16:uniqueId val="{00000003-736B-4994-9766-A3F25F207377}"/>
            </c:ext>
          </c:extLst>
        </c:ser>
        <c:ser>
          <c:idx val="4"/>
          <c:order val="4"/>
          <c:tx>
            <c:strRef>
              <c:f>Pivot!$F$52</c:f>
              <c:strCache>
                <c:ptCount val="1"/>
                <c:pt idx="0">
                  <c:v>Sum of Oils and fats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Pivot!$F$53:$F$55</c:f>
              <c:numCache>
                <c:formatCode>0.00</c:formatCode>
                <c:ptCount val="1"/>
                <c:pt idx="0">
                  <c:v>1352.8</c:v>
                </c:pt>
              </c:numCache>
            </c:numRef>
          </c:val>
          <c:extLst>
            <c:ext xmlns:c16="http://schemas.microsoft.com/office/drawing/2014/chart" uri="{C3380CC4-5D6E-409C-BE32-E72D297353CC}">
              <c16:uniqueId val="{00000004-736B-4994-9766-A3F25F207377}"/>
            </c:ext>
          </c:extLst>
        </c:ser>
        <c:ser>
          <c:idx val="5"/>
          <c:order val="5"/>
          <c:tx>
            <c:strRef>
              <c:f>Pivot!$G$52</c:f>
              <c:strCache>
                <c:ptCount val="1"/>
                <c:pt idx="0">
                  <c:v>Sum of Fruits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Pivot!$G$53:$G$55</c:f>
              <c:numCache>
                <c:formatCode>0.00</c:formatCode>
                <c:ptCount val="1"/>
                <c:pt idx="0">
                  <c:v>1590.1000000000001</c:v>
                </c:pt>
              </c:numCache>
            </c:numRef>
          </c:val>
          <c:extLst>
            <c:ext xmlns:c16="http://schemas.microsoft.com/office/drawing/2014/chart" uri="{C3380CC4-5D6E-409C-BE32-E72D297353CC}">
              <c16:uniqueId val="{00000005-736B-4994-9766-A3F25F207377}"/>
            </c:ext>
          </c:extLst>
        </c:ser>
        <c:ser>
          <c:idx val="6"/>
          <c:order val="6"/>
          <c:tx>
            <c:strRef>
              <c:f>Pivot!$H$52</c:f>
              <c:strCache>
                <c:ptCount val="1"/>
                <c:pt idx="0">
                  <c:v>Sum of Vegetables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Pivot!$H$53:$H$55</c:f>
              <c:numCache>
                <c:formatCode>0.00</c:formatCode>
                <c:ptCount val="1"/>
                <c:pt idx="0">
                  <c:v>1793</c:v>
                </c:pt>
              </c:numCache>
            </c:numRef>
          </c:val>
          <c:extLst>
            <c:ext xmlns:c16="http://schemas.microsoft.com/office/drawing/2014/chart" uri="{C3380CC4-5D6E-409C-BE32-E72D297353CC}">
              <c16:uniqueId val="{00000006-736B-4994-9766-A3F25F207377}"/>
            </c:ext>
          </c:extLst>
        </c:ser>
        <c:ser>
          <c:idx val="7"/>
          <c:order val="7"/>
          <c:tx>
            <c:strRef>
              <c:f>Pivot!$I$52</c:f>
              <c:strCache>
                <c:ptCount val="1"/>
                <c:pt idx="0">
                  <c:v>Sum of Pulses and products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Pivot!$I$53:$I$55</c:f>
              <c:numCache>
                <c:formatCode>0.00</c:formatCode>
                <c:ptCount val="1"/>
                <c:pt idx="0">
                  <c:v>1415.3</c:v>
                </c:pt>
              </c:numCache>
            </c:numRef>
          </c:val>
          <c:extLst>
            <c:ext xmlns:c16="http://schemas.microsoft.com/office/drawing/2014/chart" uri="{C3380CC4-5D6E-409C-BE32-E72D297353CC}">
              <c16:uniqueId val="{00000007-736B-4994-9766-A3F25F207377}"/>
            </c:ext>
          </c:extLst>
        </c:ser>
        <c:ser>
          <c:idx val="8"/>
          <c:order val="8"/>
          <c:tx>
            <c:strRef>
              <c:f>Pivot!$J$52</c:f>
              <c:strCache>
                <c:ptCount val="1"/>
                <c:pt idx="0">
                  <c:v>Sum of Sugar and Confectionery</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Pivot!$J$53:$J$55</c:f>
              <c:numCache>
                <c:formatCode>0.00</c:formatCode>
                <c:ptCount val="1"/>
                <c:pt idx="0">
                  <c:v>1226.5</c:v>
                </c:pt>
              </c:numCache>
            </c:numRef>
          </c:val>
          <c:extLst>
            <c:ext xmlns:c16="http://schemas.microsoft.com/office/drawing/2014/chart" uri="{C3380CC4-5D6E-409C-BE32-E72D297353CC}">
              <c16:uniqueId val="{00000008-736B-4994-9766-A3F25F207377}"/>
            </c:ext>
          </c:extLst>
        </c:ser>
        <c:ser>
          <c:idx val="9"/>
          <c:order val="9"/>
          <c:tx>
            <c:strRef>
              <c:f>Pivot!$K$52</c:f>
              <c:strCache>
                <c:ptCount val="1"/>
                <c:pt idx="0">
                  <c:v>Sum of Spices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Pivot!$K$53:$K$55</c:f>
              <c:numCache>
                <c:formatCode>0.00</c:formatCode>
                <c:ptCount val="1"/>
                <c:pt idx="0">
                  <c:v>1568.6000000000001</c:v>
                </c:pt>
              </c:numCache>
            </c:numRef>
          </c:val>
          <c:extLst>
            <c:ext xmlns:c16="http://schemas.microsoft.com/office/drawing/2014/chart" uri="{C3380CC4-5D6E-409C-BE32-E72D297353CC}">
              <c16:uniqueId val="{00000009-736B-4994-9766-A3F25F207377}"/>
            </c:ext>
          </c:extLst>
        </c:ser>
        <c:ser>
          <c:idx val="10"/>
          <c:order val="10"/>
          <c:tx>
            <c:strRef>
              <c:f>Pivot!$L$52</c:f>
              <c:strCache>
                <c:ptCount val="1"/>
                <c:pt idx="0">
                  <c:v>Sum of Non-alcoholic beverages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Pivot!$L$53:$L$55</c:f>
              <c:numCache>
                <c:formatCode>0.00</c:formatCode>
                <c:ptCount val="1"/>
                <c:pt idx="0">
                  <c:v>1479.6</c:v>
                </c:pt>
              </c:numCache>
            </c:numRef>
          </c:val>
          <c:extLst>
            <c:ext xmlns:c16="http://schemas.microsoft.com/office/drawing/2014/chart" uri="{C3380CC4-5D6E-409C-BE32-E72D297353CC}">
              <c16:uniqueId val="{0000000A-736B-4994-9766-A3F25F207377}"/>
            </c:ext>
          </c:extLst>
        </c:ser>
        <c:ser>
          <c:idx val="11"/>
          <c:order val="11"/>
          <c:tx>
            <c:strRef>
              <c:f>Pivot!$M$52</c:f>
              <c:strCache>
                <c:ptCount val="1"/>
                <c:pt idx="0">
                  <c:v>Sum of Prepared meals, snacks, sweets etc.</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Pivot!$M$53:$M$55</c:f>
              <c:numCache>
                <c:formatCode>0.00</c:formatCode>
                <c:ptCount val="1"/>
                <c:pt idx="0">
                  <c:v>1718.3000000000002</c:v>
                </c:pt>
              </c:numCache>
            </c:numRef>
          </c:val>
          <c:extLst>
            <c:ext xmlns:c16="http://schemas.microsoft.com/office/drawing/2014/chart" uri="{C3380CC4-5D6E-409C-BE32-E72D297353CC}">
              <c16:uniqueId val="{0000000B-736B-4994-9766-A3F25F207377}"/>
            </c:ext>
          </c:extLst>
        </c:ser>
        <c:ser>
          <c:idx val="12"/>
          <c:order val="12"/>
          <c:tx>
            <c:strRef>
              <c:f>Pivot!$N$52</c:f>
              <c:strCache>
                <c:ptCount val="1"/>
                <c:pt idx="0">
                  <c:v>Sum of Food and beverages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Pivot!$N$53:$N$55</c:f>
              <c:numCache>
                <c:formatCode>0.00</c:formatCode>
                <c:ptCount val="1"/>
                <c:pt idx="0">
                  <c:v>1590.7</c:v>
                </c:pt>
              </c:numCache>
            </c:numRef>
          </c:val>
          <c:extLst>
            <c:ext xmlns:c16="http://schemas.microsoft.com/office/drawing/2014/chart" uri="{C3380CC4-5D6E-409C-BE32-E72D297353CC}">
              <c16:uniqueId val="{0000000C-736B-4994-9766-A3F25F207377}"/>
            </c:ext>
          </c:extLst>
        </c:ser>
        <c:ser>
          <c:idx val="13"/>
          <c:order val="13"/>
          <c:tx>
            <c:strRef>
              <c:f>Pivot!$O$52</c:f>
              <c:strCache>
                <c:ptCount val="1"/>
                <c:pt idx="0">
                  <c:v>Sum of Pan, tobacco and intoxicants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Pivot!$A$53:$A$55</c:f>
              <c:multiLvlStrCache>
                <c:ptCount val="1"/>
                <c:lvl>
                  <c:pt idx="0">
                    <c:v>2019</c:v>
                  </c:pt>
                </c:lvl>
                <c:lvl>
                  <c:pt idx="0">
                    <c:v>Rural+Urban</c:v>
                  </c:pt>
                </c:lvl>
              </c:multiLvlStrCache>
            </c:multiLvlStrRef>
          </c:cat>
          <c:val>
            <c:numRef>
              <c:f>Pivot!$O$53:$O$55</c:f>
              <c:numCache>
                <c:formatCode>0.00</c:formatCode>
                <c:ptCount val="1"/>
                <c:pt idx="0">
                  <c:v>1820.1000000000001</c:v>
                </c:pt>
              </c:numCache>
            </c:numRef>
          </c:val>
          <c:extLst>
            <c:ext xmlns:c16="http://schemas.microsoft.com/office/drawing/2014/chart" uri="{C3380CC4-5D6E-409C-BE32-E72D297353CC}">
              <c16:uniqueId val="{0000000D-736B-4994-9766-A3F25F207377}"/>
            </c:ext>
          </c:extLst>
        </c:ser>
        <c:ser>
          <c:idx val="14"/>
          <c:order val="14"/>
          <c:tx>
            <c:strRef>
              <c:f>Pivot!$P$52</c:f>
              <c:strCache>
                <c:ptCount val="1"/>
                <c:pt idx="0">
                  <c:v>Sum of Clothing</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Pivot!$P$53:$P$55</c:f>
              <c:numCache>
                <c:formatCode>0.00</c:formatCode>
                <c:ptCount val="1"/>
                <c:pt idx="0">
                  <c:v>1637</c:v>
                </c:pt>
              </c:numCache>
            </c:numRef>
          </c:val>
          <c:extLst>
            <c:ext xmlns:c16="http://schemas.microsoft.com/office/drawing/2014/chart" uri="{C3380CC4-5D6E-409C-BE32-E72D297353CC}">
              <c16:uniqueId val="{0000000E-736B-4994-9766-A3F25F207377}"/>
            </c:ext>
          </c:extLst>
        </c:ser>
        <c:ser>
          <c:idx val="15"/>
          <c:order val="15"/>
          <c:tx>
            <c:strRef>
              <c:f>Pivot!$Q$52</c:f>
              <c:strCache>
                <c:ptCount val="1"/>
                <c:pt idx="0">
                  <c:v>Sum of Footwear</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Pivot!$Q$53:$Q$55</c:f>
              <c:numCache>
                <c:formatCode>0.00</c:formatCode>
                <c:ptCount val="1"/>
                <c:pt idx="0">
                  <c:v>1544.2000000000003</c:v>
                </c:pt>
              </c:numCache>
            </c:numRef>
          </c:val>
          <c:extLst>
            <c:ext xmlns:c16="http://schemas.microsoft.com/office/drawing/2014/chart" uri="{C3380CC4-5D6E-409C-BE32-E72D297353CC}">
              <c16:uniqueId val="{0000000F-736B-4994-9766-A3F25F207377}"/>
            </c:ext>
          </c:extLst>
        </c:ser>
        <c:ser>
          <c:idx val="16"/>
          <c:order val="16"/>
          <c:tx>
            <c:strRef>
              <c:f>Pivot!$R$52</c:f>
              <c:strCache>
                <c:ptCount val="1"/>
                <c:pt idx="0">
                  <c:v>Sum of Clothing and footwear</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Pivot!$R$53:$R$55</c:f>
              <c:numCache>
                <c:formatCode>0.00</c:formatCode>
                <c:ptCount val="1"/>
                <c:pt idx="0">
                  <c:v>1623.5000000000002</c:v>
                </c:pt>
              </c:numCache>
            </c:numRef>
          </c:val>
          <c:extLst>
            <c:ext xmlns:c16="http://schemas.microsoft.com/office/drawing/2014/chart" uri="{C3380CC4-5D6E-409C-BE32-E72D297353CC}">
              <c16:uniqueId val="{00000010-736B-4994-9766-A3F25F207377}"/>
            </c:ext>
          </c:extLst>
        </c:ser>
        <c:ser>
          <c:idx val="17"/>
          <c:order val="17"/>
          <c:tx>
            <c:strRef>
              <c:f>Pivot!$S$52</c:f>
              <c:strCache>
                <c:ptCount val="1"/>
                <c:pt idx="0">
                  <c:v>Sum of Housing</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Pivot!$S$53:$S$55</c:f>
              <c:numCache>
                <c:formatCode>0.00</c:formatCode>
                <c:ptCount val="1"/>
                <c:pt idx="0">
                  <c:v>1658.4</c:v>
                </c:pt>
              </c:numCache>
            </c:numRef>
          </c:val>
          <c:extLst>
            <c:ext xmlns:c16="http://schemas.microsoft.com/office/drawing/2014/chart" uri="{C3380CC4-5D6E-409C-BE32-E72D297353CC}">
              <c16:uniqueId val="{00000011-736B-4994-9766-A3F25F207377}"/>
            </c:ext>
          </c:extLst>
        </c:ser>
        <c:ser>
          <c:idx val="18"/>
          <c:order val="18"/>
          <c:tx>
            <c:strRef>
              <c:f>Pivot!$T$52</c:f>
              <c:strCache>
                <c:ptCount val="1"/>
                <c:pt idx="0">
                  <c:v>Sum of Fuel and light</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Pivot!$T$53:$T$55</c:f>
              <c:numCache>
                <c:formatCode>0.00</c:formatCode>
                <c:ptCount val="1"/>
                <c:pt idx="0">
                  <c:v>1542.7</c:v>
                </c:pt>
              </c:numCache>
            </c:numRef>
          </c:val>
          <c:extLst>
            <c:ext xmlns:c16="http://schemas.microsoft.com/office/drawing/2014/chart" uri="{C3380CC4-5D6E-409C-BE32-E72D297353CC}">
              <c16:uniqueId val="{00000012-736B-4994-9766-A3F25F207377}"/>
            </c:ext>
          </c:extLst>
        </c:ser>
        <c:ser>
          <c:idx val="19"/>
          <c:order val="19"/>
          <c:tx>
            <c:strRef>
              <c:f>Pivot!$U$52</c:f>
              <c:strCache>
                <c:ptCount val="1"/>
                <c:pt idx="0">
                  <c:v>Sum of Household goods and services</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Pivot!$U$53:$U$55</c:f>
              <c:numCache>
                <c:formatCode>0.00</c:formatCode>
                <c:ptCount val="1"/>
                <c:pt idx="0">
                  <c:v>1588</c:v>
                </c:pt>
              </c:numCache>
            </c:numRef>
          </c:val>
          <c:extLst>
            <c:ext xmlns:c16="http://schemas.microsoft.com/office/drawing/2014/chart" uri="{C3380CC4-5D6E-409C-BE32-E72D297353CC}">
              <c16:uniqueId val="{00000013-736B-4994-9766-A3F25F207377}"/>
            </c:ext>
          </c:extLst>
        </c:ser>
        <c:ser>
          <c:idx val="20"/>
          <c:order val="20"/>
          <c:tx>
            <c:strRef>
              <c:f>Pivot!$V$52</c:f>
              <c:strCache>
                <c:ptCount val="1"/>
                <c:pt idx="0">
                  <c:v>Sum of Health</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Pivot!$V$53:$V$55</c:f>
              <c:numCache>
                <c:formatCode>0.00</c:formatCode>
                <c:ptCount val="1"/>
                <c:pt idx="0">
                  <c:v>1626.3</c:v>
                </c:pt>
              </c:numCache>
            </c:numRef>
          </c:val>
          <c:extLst>
            <c:ext xmlns:c16="http://schemas.microsoft.com/office/drawing/2014/chart" uri="{C3380CC4-5D6E-409C-BE32-E72D297353CC}">
              <c16:uniqueId val="{00000014-736B-4994-9766-A3F25F207377}"/>
            </c:ext>
          </c:extLst>
        </c:ser>
        <c:ser>
          <c:idx val="21"/>
          <c:order val="21"/>
          <c:tx>
            <c:strRef>
              <c:f>Pivot!$W$52</c:f>
              <c:strCache>
                <c:ptCount val="1"/>
                <c:pt idx="0">
                  <c:v>Sum of Transport and communication</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Pivot!$W$53:$W$55</c:f>
              <c:numCache>
                <c:formatCode>0.00</c:formatCode>
                <c:ptCount val="1"/>
                <c:pt idx="0">
                  <c:v>1381.5</c:v>
                </c:pt>
              </c:numCache>
            </c:numRef>
          </c:val>
          <c:extLst>
            <c:ext xmlns:c16="http://schemas.microsoft.com/office/drawing/2014/chart" uri="{C3380CC4-5D6E-409C-BE32-E72D297353CC}">
              <c16:uniqueId val="{00000015-736B-4994-9766-A3F25F207377}"/>
            </c:ext>
          </c:extLst>
        </c:ser>
        <c:ser>
          <c:idx val="22"/>
          <c:order val="22"/>
          <c:tx>
            <c:strRef>
              <c:f>Pivot!$X$52</c:f>
              <c:strCache>
                <c:ptCount val="1"/>
                <c:pt idx="0">
                  <c:v>Sum of Recreation and amusement</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Pivot!$X$53:$X$55</c:f>
              <c:numCache>
                <c:formatCode>0.00</c:formatCode>
                <c:ptCount val="1"/>
                <c:pt idx="0">
                  <c:v>1539.1</c:v>
                </c:pt>
              </c:numCache>
            </c:numRef>
          </c:val>
          <c:extLst>
            <c:ext xmlns:c16="http://schemas.microsoft.com/office/drawing/2014/chart" uri="{C3380CC4-5D6E-409C-BE32-E72D297353CC}">
              <c16:uniqueId val="{00000016-736B-4994-9766-A3F25F207377}"/>
            </c:ext>
          </c:extLst>
        </c:ser>
        <c:ser>
          <c:idx val="23"/>
          <c:order val="23"/>
          <c:tx>
            <c:strRef>
              <c:f>Pivot!$Y$52</c:f>
              <c:strCache>
                <c:ptCount val="1"/>
                <c:pt idx="0">
                  <c:v>Sum of Education</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Pivot!$Y$53:$Y$55</c:f>
              <c:numCache>
                <c:formatCode>0.00</c:formatCode>
                <c:ptCount val="1"/>
                <c:pt idx="0">
                  <c:v>1685.5999999999997</c:v>
                </c:pt>
              </c:numCache>
            </c:numRef>
          </c:val>
          <c:extLst>
            <c:ext xmlns:c16="http://schemas.microsoft.com/office/drawing/2014/chart" uri="{C3380CC4-5D6E-409C-BE32-E72D297353CC}">
              <c16:uniqueId val="{00000017-736B-4994-9766-A3F25F207377}"/>
            </c:ext>
          </c:extLst>
        </c:ser>
        <c:ser>
          <c:idx val="24"/>
          <c:order val="24"/>
          <c:tx>
            <c:strRef>
              <c:f>Pivot!$Z$52</c:f>
              <c:strCache>
                <c:ptCount val="1"/>
                <c:pt idx="0">
                  <c:v>Sum of Personal care and effects</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Pivot!$Z$53:$Z$55</c:f>
              <c:numCache>
                <c:formatCode>0.00</c:formatCode>
                <c:ptCount val="1"/>
                <c:pt idx="0">
                  <c:v>1502.5</c:v>
                </c:pt>
              </c:numCache>
            </c:numRef>
          </c:val>
          <c:extLst>
            <c:ext xmlns:c16="http://schemas.microsoft.com/office/drawing/2014/chart" uri="{C3380CC4-5D6E-409C-BE32-E72D297353CC}">
              <c16:uniqueId val="{00000018-736B-4994-9766-A3F25F207377}"/>
            </c:ext>
          </c:extLst>
        </c:ser>
        <c:ser>
          <c:idx val="25"/>
          <c:order val="25"/>
          <c:tx>
            <c:strRef>
              <c:f>Pivot!$AA$52</c:f>
              <c:strCache>
                <c:ptCount val="1"/>
                <c:pt idx="0">
                  <c:v>Sum of Miscellaneous</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Pivot!$A$53:$A$55</c:f>
              <c:multiLvlStrCache>
                <c:ptCount val="1"/>
                <c:lvl>
                  <c:pt idx="0">
                    <c:v>2019</c:v>
                  </c:pt>
                </c:lvl>
                <c:lvl>
                  <c:pt idx="0">
                    <c:v>Rural+Urban</c:v>
                  </c:pt>
                </c:lvl>
              </c:multiLvlStrCache>
            </c:multiLvlStrRef>
          </c:cat>
          <c:val>
            <c:numRef>
              <c:f>Pivot!$AA$53:$AA$55</c:f>
              <c:numCache>
                <c:formatCode>0.00</c:formatCode>
                <c:ptCount val="1"/>
                <c:pt idx="0">
                  <c:v>1534.0000000000002</c:v>
                </c:pt>
              </c:numCache>
            </c:numRef>
          </c:val>
          <c:extLst>
            <c:ext xmlns:c16="http://schemas.microsoft.com/office/drawing/2014/chart" uri="{C3380CC4-5D6E-409C-BE32-E72D297353CC}">
              <c16:uniqueId val="{00000019-736B-4994-9766-A3F25F207377}"/>
            </c:ext>
          </c:extLst>
        </c:ser>
        <c:dLbls>
          <c:showLegendKey val="0"/>
          <c:showVal val="0"/>
          <c:showCatName val="0"/>
          <c:showSerName val="0"/>
          <c:showPercent val="0"/>
          <c:showBubbleSize val="0"/>
        </c:dLbls>
        <c:gapWidth val="100"/>
        <c:overlap val="-24"/>
        <c:axId val="1981323759"/>
        <c:axId val="1981324239"/>
      </c:barChart>
      <c:catAx>
        <c:axId val="19813237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324239"/>
        <c:crosses val="autoZero"/>
        <c:auto val="1"/>
        <c:lblAlgn val="ctr"/>
        <c:lblOffset val="100"/>
        <c:noMultiLvlLbl val="0"/>
      </c:catAx>
      <c:valAx>
        <c:axId val="19813242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323759"/>
        <c:crosses val="autoZero"/>
        <c:crossBetween val="between"/>
      </c:valAx>
      <c:spPr>
        <a:noFill/>
        <a:ln>
          <a:noFill/>
        </a:ln>
        <a:effectLst/>
      </c:spPr>
    </c:plotArea>
    <c:legend>
      <c:legendPos val="r"/>
      <c:layout>
        <c:manualLayout>
          <c:xMode val="edge"/>
          <c:yMode val="edge"/>
          <c:x val="0.6266721948923677"/>
          <c:y val="0.14285080725304045"/>
          <c:w val="0.33333333333333331"/>
          <c:h val="0.83238398440174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CASE.xlsx]Pivot!PivotTable5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baseline="0">
                <a:solidFill>
                  <a:schemeClr val="bg1"/>
                </a:solidFill>
              </a:rPr>
              <a:t>Pre Covid CPI MoM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Pivot!$B$64:$B$65</c:f>
              <c:strCache>
                <c:ptCount val="1"/>
                <c:pt idx="0">
                  <c:v>Rural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Pivot!$A$66:$A$91</c:f>
              <c:multiLvlStrCache>
                <c:ptCount val="23"/>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lvl>
                <c:lvl>
                  <c:pt idx="0">
                    <c:v>2019</c:v>
                  </c:pt>
                  <c:pt idx="11">
                    <c:v>2020</c:v>
                  </c:pt>
                </c:lvl>
              </c:multiLvlStrCache>
            </c:multiLvlStrRef>
          </c:cat>
          <c:val>
            <c:numRef>
              <c:f>Pivot!$B$66:$B$91</c:f>
              <c:numCache>
                <c:formatCode>0%</c:formatCode>
                <c:ptCount val="23"/>
                <c:pt idx="0">
                  <c:v>-6.3424947145877776E-3</c:v>
                </c:pt>
                <c:pt idx="1">
                  <c:v>0</c:v>
                </c:pt>
                <c:pt idx="2">
                  <c:v>1.4184397163119762E-3</c:v>
                </c:pt>
                <c:pt idx="3">
                  <c:v>8.4985835694052214E-3</c:v>
                </c:pt>
                <c:pt idx="4">
                  <c:v>8.4269662921347514E-3</c:v>
                </c:pt>
                <c:pt idx="5">
                  <c:v>9.0529247910864311E-3</c:v>
                </c:pt>
                <c:pt idx="6">
                  <c:v>5.521048999309751E-3</c:v>
                </c:pt>
                <c:pt idx="7">
                  <c:v>6.8634179821551134E-3</c:v>
                </c:pt>
                <c:pt idx="8">
                  <c:v>1.0906612133606155E-2</c:v>
                </c:pt>
                <c:pt idx="9">
                  <c:v>1.0788941335131452E-2</c:v>
                </c:pt>
                <c:pt idx="10">
                  <c:v>1.6010673782521717E-2</c:v>
                </c:pt>
                <c:pt idx="11">
                  <c:v>-2.6263952724885466E-3</c:v>
                </c:pt>
                <c:pt idx="12">
                  <c:v>-9.8749177090190904E-3</c:v>
                </c:pt>
                <c:pt idx="13">
                  <c:v>-3.989361702127622E-3</c:v>
                </c:pt>
                <c:pt idx="14">
                  <c:v>-6.8357810413885237E-2</c:v>
                </c:pt>
                <c:pt idx="15">
                  <c:v>0</c:v>
                </c:pt>
                <c:pt idx="16">
                  <c:v>9.41530524505588E-2</c:v>
                </c:pt>
                <c:pt idx="17">
                  <c:v>0</c:v>
                </c:pt>
                <c:pt idx="18">
                  <c:v>1.3097576948264572E-2</c:v>
                </c:pt>
                <c:pt idx="19">
                  <c:v>4.5248868778281649E-3</c:v>
                </c:pt>
                <c:pt idx="20">
                  <c:v>1.3513513513513476E-2</c:v>
                </c:pt>
                <c:pt idx="21">
                  <c:v>1.4603174603174675E-2</c:v>
                </c:pt>
                <c:pt idx="22">
                  <c:v>5.6320400500624356E-3</c:v>
                </c:pt>
              </c:numCache>
            </c:numRef>
          </c:val>
          <c:smooth val="0"/>
          <c:extLst>
            <c:ext xmlns:c16="http://schemas.microsoft.com/office/drawing/2014/chart" uri="{C3380CC4-5D6E-409C-BE32-E72D297353CC}">
              <c16:uniqueId val="{00000000-6BB9-4457-B69A-946A7F46EEC1}"/>
            </c:ext>
          </c:extLst>
        </c:ser>
        <c:ser>
          <c:idx val="1"/>
          <c:order val="1"/>
          <c:tx>
            <c:strRef>
              <c:f>Pivot!$C$64:$C$65</c:f>
              <c:strCache>
                <c:ptCount val="1"/>
                <c:pt idx="0">
                  <c:v>Rural+Urban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Pivot!$A$66:$A$91</c:f>
              <c:multiLvlStrCache>
                <c:ptCount val="23"/>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lvl>
                <c:lvl>
                  <c:pt idx="0">
                    <c:v>2019</c:v>
                  </c:pt>
                  <c:pt idx="11">
                    <c:v>2020</c:v>
                  </c:pt>
                </c:lvl>
              </c:multiLvlStrCache>
            </c:multiLvlStrRef>
          </c:cat>
          <c:val>
            <c:numRef>
              <c:f>Pivot!$C$66:$C$91</c:f>
              <c:numCache>
                <c:formatCode>0%</c:formatCode>
                <c:ptCount val="23"/>
                <c:pt idx="0">
                  <c:v>-3.5688793718772309E-3</c:v>
                </c:pt>
                <c:pt idx="1">
                  <c:v>2.1489971346705687E-3</c:v>
                </c:pt>
                <c:pt idx="2">
                  <c:v>3.5739814152966403E-3</c:v>
                </c:pt>
                <c:pt idx="3">
                  <c:v>1.1396011396011355E-2</c:v>
                </c:pt>
                <c:pt idx="4">
                  <c:v>6.3380281690141246E-3</c:v>
                </c:pt>
                <c:pt idx="5">
                  <c:v>9.0972708187542547E-3</c:v>
                </c:pt>
                <c:pt idx="6">
                  <c:v>5.5478502080444619E-3</c:v>
                </c:pt>
                <c:pt idx="7">
                  <c:v>5.5172413793104233E-3</c:v>
                </c:pt>
                <c:pt idx="8">
                  <c:v>9.6021947873798155E-3</c:v>
                </c:pt>
                <c:pt idx="9">
                  <c:v>9.5108695652174301E-3</c:v>
                </c:pt>
                <c:pt idx="10">
                  <c:v>1.2113055181695904E-2</c:v>
                </c:pt>
                <c:pt idx="11">
                  <c:v>-1.3297872340426666E-3</c:v>
                </c:pt>
                <c:pt idx="12">
                  <c:v>-7.3235685752329853E-3</c:v>
                </c:pt>
                <c:pt idx="13">
                  <c:v>-3.3534540576794099E-3</c:v>
                </c:pt>
                <c:pt idx="14">
                  <c:v>-6.0834454912516774E-2</c:v>
                </c:pt>
                <c:pt idx="15">
                  <c:v>0</c:v>
                </c:pt>
                <c:pt idx="16">
                  <c:v>8.7704213241616577E-2</c:v>
                </c:pt>
                <c:pt idx="17">
                  <c:v>0</c:v>
                </c:pt>
                <c:pt idx="18">
                  <c:v>1.3833992094861622E-2</c:v>
                </c:pt>
                <c:pt idx="19">
                  <c:v>5.1981806367770167E-3</c:v>
                </c:pt>
                <c:pt idx="20">
                  <c:v>1.0989010989011101E-2</c:v>
                </c:pt>
                <c:pt idx="21">
                  <c:v>1.278772378516624E-2</c:v>
                </c:pt>
                <c:pt idx="22">
                  <c:v>3.1565656565656565E-3</c:v>
                </c:pt>
              </c:numCache>
            </c:numRef>
          </c:val>
          <c:smooth val="0"/>
          <c:extLst>
            <c:ext xmlns:c16="http://schemas.microsoft.com/office/drawing/2014/chart" uri="{C3380CC4-5D6E-409C-BE32-E72D297353CC}">
              <c16:uniqueId val="{00000001-6BB9-4457-B69A-946A7F46EEC1}"/>
            </c:ext>
          </c:extLst>
        </c:ser>
        <c:ser>
          <c:idx val="2"/>
          <c:order val="2"/>
          <c:tx>
            <c:strRef>
              <c:f>Pivot!$D$64:$D$65</c:f>
              <c:strCache>
                <c:ptCount val="1"/>
                <c:pt idx="0">
                  <c:v>Urban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Pivot!$A$66:$A$91</c:f>
              <c:multiLvlStrCache>
                <c:ptCount val="23"/>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lvl>
                <c:lvl>
                  <c:pt idx="0">
                    <c:v>2019</c:v>
                  </c:pt>
                  <c:pt idx="11">
                    <c:v>2020</c:v>
                  </c:pt>
                </c:lvl>
              </c:multiLvlStrCache>
            </c:multiLvlStrRef>
          </c:cat>
          <c:val>
            <c:numRef>
              <c:f>Pivot!$D$66:$D$91</c:f>
              <c:numCache>
                <c:formatCode>0%</c:formatCode>
                <c:ptCount val="23"/>
                <c:pt idx="0">
                  <c:v>0</c:v>
                </c:pt>
                <c:pt idx="1">
                  <c:v>4.3478260869564802E-3</c:v>
                </c:pt>
                <c:pt idx="2">
                  <c:v>6.4935064935065347E-3</c:v>
                </c:pt>
                <c:pt idx="3">
                  <c:v>1.4336917562724014E-2</c:v>
                </c:pt>
                <c:pt idx="4">
                  <c:v>4.2402826855123272E-3</c:v>
                </c:pt>
                <c:pt idx="5">
                  <c:v>8.4447572132302397E-3</c:v>
                </c:pt>
                <c:pt idx="6">
                  <c:v>6.2805303558965608E-3</c:v>
                </c:pt>
                <c:pt idx="7">
                  <c:v>3.4674063800277394E-3</c:v>
                </c:pt>
                <c:pt idx="8">
                  <c:v>8.9841050449206046E-3</c:v>
                </c:pt>
                <c:pt idx="9">
                  <c:v>6.8493150684931503E-3</c:v>
                </c:pt>
                <c:pt idx="10">
                  <c:v>8.8435374149660635E-3</c:v>
                </c:pt>
                <c:pt idx="11">
                  <c:v>-6.7430883344587144E-4</c:v>
                </c:pt>
                <c:pt idx="12">
                  <c:v>-3.3738191632928477E-3</c:v>
                </c:pt>
                <c:pt idx="13">
                  <c:v>-2.7081922816518437E-3</c:v>
                </c:pt>
                <c:pt idx="14">
                  <c:v>-5.2545824847250566E-2</c:v>
                </c:pt>
                <c:pt idx="15">
                  <c:v>0</c:v>
                </c:pt>
                <c:pt idx="16">
                  <c:v>8.05388363427917E-2</c:v>
                </c:pt>
                <c:pt idx="17">
                  <c:v>0</c:v>
                </c:pt>
                <c:pt idx="18">
                  <c:v>1.3925729442970783E-2</c:v>
                </c:pt>
                <c:pt idx="19">
                  <c:v>7.194244604316509E-3</c:v>
                </c:pt>
                <c:pt idx="20">
                  <c:v>7.7922077922077185E-3</c:v>
                </c:pt>
                <c:pt idx="21">
                  <c:v>9.6649484536082478E-3</c:v>
                </c:pt>
                <c:pt idx="22">
                  <c:v>1.2763241863434401E-3</c:v>
                </c:pt>
              </c:numCache>
            </c:numRef>
          </c:val>
          <c:smooth val="0"/>
          <c:extLst>
            <c:ext xmlns:c16="http://schemas.microsoft.com/office/drawing/2014/chart" uri="{C3380CC4-5D6E-409C-BE32-E72D297353CC}">
              <c16:uniqueId val="{00000002-6BB9-4457-B69A-946A7F46EEC1}"/>
            </c:ext>
          </c:extLst>
        </c:ser>
        <c:dLbls>
          <c:showLegendKey val="0"/>
          <c:showVal val="0"/>
          <c:showCatName val="0"/>
          <c:showSerName val="0"/>
          <c:showPercent val="0"/>
          <c:showBubbleSize val="0"/>
        </c:dLbls>
        <c:marker val="1"/>
        <c:smooth val="0"/>
        <c:axId val="933192175"/>
        <c:axId val="933194095"/>
      </c:lineChart>
      <c:catAx>
        <c:axId val="9331921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3194095"/>
        <c:crosses val="autoZero"/>
        <c:auto val="1"/>
        <c:lblAlgn val="ctr"/>
        <c:lblOffset val="100"/>
        <c:noMultiLvlLbl val="0"/>
      </c:catAx>
      <c:valAx>
        <c:axId val="9331940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319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CASE.xlsx]Pivot!PivotTable6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baseline="0">
                <a:solidFill>
                  <a:schemeClr val="bg1"/>
                </a:solidFill>
              </a:rPr>
              <a:t>Post Covid CPI MoM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40981526970365E-2"/>
          <c:y val="0.17734469867518043"/>
          <c:w val="0.7159940707840502"/>
          <c:h val="0.72122776293195023"/>
        </c:manualLayout>
      </c:layout>
      <c:lineChart>
        <c:grouping val="standard"/>
        <c:varyColors val="0"/>
        <c:ser>
          <c:idx val="0"/>
          <c:order val="0"/>
          <c:tx>
            <c:strRef>
              <c:f>Pivot!$H$64:$H$65</c:f>
              <c:strCache>
                <c:ptCount val="1"/>
                <c:pt idx="0">
                  <c:v>Rural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Pivot!$G$66:$G$92</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2020</c:v>
                  </c:pt>
                  <c:pt idx="12">
                    <c:v>2021</c:v>
                  </c:pt>
                </c:lvl>
              </c:multiLvlStrCache>
            </c:multiLvlStrRef>
          </c:cat>
          <c:val>
            <c:numRef>
              <c:f>Pivot!$H$66:$H$92</c:f>
              <c:numCache>
                <c:formatCode>0%</c:formatCode>
                <c:ptCount val="24"/>
                <c:pt idx="0">
                  <c:v>-2.6263952724885466E-3</c:v>
                </c:pt>
                <c:pt idx="1">
                  <c:v>-9.8749177090190904E-3</c:v>
                </c:pt>
                <c:pt idx="2">
                  <c:v>-3.989361702127622E-3</c:v>
                </c:pt>
                <c:pt idx="3">
                  <c:v>-6.8357810413885237E-2</c:v>
                </c:pt>
                <c:pt idx="4">
                  <c:v>0</c:v>
                </c:pt>
                <c:pt idx="5">
                  <c:v>9.41530524505588E-2</c:v>
                </c:pt>
                <c:pt idx="6">
                  <c:v>0</c:v>
                </c:pt>
                <c:pt idx="7">
                  <c:v>1.3097576948264572E-2</c:v>
                </c:pt>
                <c:pt idx="8">
                  <c:v>4.5248868778281649E-3</c:v>
                </c:pt>
                <c:pt idx="9">
                  <c:v>1.3513513513513476E-2</c:v>
                </c:pt>
                <c:pt idx="10">
                  <c:v>1.4603174603174675E-2</c:v>
                </c:pt>
                <c:pt idx="11">
                  <c:v>5.6320400500624356E-3</c:v>
                </c:pt>
                <c:pt idx="12">
                  <c:v>-1.3690105787181012E-2</c:v>
                </c:pt>
                <c:pt idx="13">
                  <c:v>-1.135646687697168E-2</c:v>
                </c:pt>
                <c:pt idx="14">
                  <c:v>0</c:v>
                </c:pt>
                <c:pt idx="15">
                  <c:v>5.7434588385450267E-3</c:v>
                </c:pt>
                <c:pt idx="16">
                  <c:v>2.2208121827411168E-2</c:v>
                </c:pt>
                <c:pt idx="17">
                  <c:v>6.2073246430788334E-3</c:v>
                </c:pt>
                <c:pt idx="18">
                  <c:v>6.7859346082664671E-3</c:v>
                </c:pt>
                <c:pt idx="19">
                  <c:v>2.4509803921568978E-3</c:v>
                </c:pt>
                <c:pt idx="20">
                  <c:v>2.4449877750611594E-3</c:v>
                </c:pt>
                <c:pt idx="21">
                  <c:v>1.4024390243902509E-2</c:v>
                </c:pt>
                <c:pt idx="22">
                  <c:v>7.8171978352374188E-3</c:v>
                </c:pt>
                <c:pt idx="23">
                  <c:v>-3.579952267303069E-3</c:v>
                </c:pt>
              </c:numCache>
            </c:numRef>
          </c:val>
          <c:smooth val="0"/>
          <c:extLst>
            <c:ext xmlns:c16="http://schemas.microsoft.com/office/drawing/2014/chart" uri="{C3380CC4-5D6E-409C-BE32-E72D297353CC}">
              <c16:uniqueId val="{00000000-F25A-4A82-82FB-61100816F8B5}"/>
            </c:ext>
          </c:extLst>
        </c:ser>
        <c:ser>
          <c:idx val="1"/>
          <c:order val="1"/>
          <c:tx>
            <c:strRef>
              <c:f>Pivot!$I$64:$I$65</c:f>
              <c:strCache>
                <c:ptCount val="1"/>
                <c:pt idx="0">
                  <c:v>Rural+Urban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Pivot!$G$66:$G$92</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2020</c:v>
                  </c:pt>
                  <c:pt idx="12">
                    <c:v>2021</c:v>
                  </c:pt>
                </c:lvl>
              </c:multiLvlStrCache>
            </c:multiLvlStrRef>
          </c:cat>
          <c:val>
            <c:numRef>
              <c:f>Pivot!$I$66:$I$92</c:f>
              <c:numCache>
                <c:formatCode>0%</c:formatCode>
                <c:ptCount val="24"/>
                <c:pt idx="0">
                  <c:v>-1.3297872340426666E-3</c:v>
                </c:pt>
                <c:pt idx="1">
                  <c:v>-7.3235685752329853E-3</c:v>
                </c:pt>
                <c:pt idx="2">
                  <c:v>-3.3534540576794099E-3</c:v>
                </c:pt>
                <c:pt idx="3">
                  <c:v>-6.0834454912516774E-2</c:v>
                </c:pt>
                <c:pt idx="4">
                  <c:v>0</c:v>
                </c:pt>
                <c:pt idx="5">
                  <c:v>8.7704213241616577E-2</c:v>
                </c:pt>
                <c:pt idx="6">
                  <c:v>0</c:v>
                </c:pt>
                <c:pt idx="7">
                  <c:v>1.3833992094861622E-2</c:v>
                </c:pt>
                <c:pt idx="8">
                  <c:v>5.1981806367770167E-3</c:v>
                </c:pt>
                <c:pt idx="9">
                  <c:v>1.0989010989011101E-2</c:v>
                </c:pt>
                <c:pt idx="10">
                  <c:v>1.278772378516624E-2</c:v>
                </c:pt>
                <c:pt idx="11">
                  <c:v>3.1565656565656565E-3</c:v>
                </c:pt>
                <c:pt idx="12">
                  <c:v>-1.006922592825673E-2</c:v>
                </c:pt>
                <c:pt idx="13">
                  <c:v>-4.4500953591863762E-3</c:v>
                </c:pt>
                <c:pt idx="14">
                  <c:v>1.2771392081737999E-3</c:v>
                </c:pt>
                <c:pt idx="15">
                  <c:v>6.3775510204081625E-3</c:v>
                </c:pt>
                <c:pt idx="16">
                  <c:v>1.6476552598225565E-2</c:v>
                </c:pt>
                <c:pt idx="17">
                  <c:v>5.6109725685785893E-3</c:v>
                </c:pt>
                <c:pt idx="18">
                  <c:v>7.439553626782322E-3</c:v>
                </c:pt>
                <c:pt idx="19">
                  <c:v>4.3076923076922381E-3</c:v>
                </c:pt>
                <c:pt idx="20">
                  <c:v>0</c:v>
                </c:pt>
                <c:pt idx="21">
                  <c:v>1.4093137254902032E-2</c:v>
                </c:pt>
                <c:pt idx="22">
                  <c:v>7.2507552870089949E-3</c:v>
                </c:pt>
                <c:pt idx="23">
                  <c:v>-2.999400119976005E-3</c:v>
                </c:pt>
              </c:numCache>
            </c:numRef>
          </c:val>
          <c:smooth val="0"/>
          <c:extLst>
            <c:ext xmlns:c16="http://schemas.microsoft.com/office/drawing/2014/chart" uri="{C3380CC4-5D6E-409C-BE32-E72D297353CC}">
              <c16:uniqueId val="{00000001-F25A-4A82-82FB-61100816F8B5}"/>
            </c:ext>
          </c:extLst>
        </c:ser>
        <c:ser>
          <c:idx val="2"/>
          <c:order val="2"/>
          <c:tx>
            <c:strRef>
              <c:f>Pivot!$J$64:$J$65</c:f>
              <c:strCache>
                <c:ptCount val="1"/>
                <c:pt idx="0">
                  <c:v>Urban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Pivot!$G$66:$G$92</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2020</c:v>
                  </c:pt>
                  <c:pt idx="12">
                    <c:v>2021</c:v>
                  </c:pt>
                </c:lvl>
              </c:multiLvlStrCache>
            </c:multiLvlStrRef>
          </c:cat>
          <c:val>
            <c:numRef>
              <c:f>Pivot!$J$66:$J$92</c:f>
              <c:numCache>
                <c:formatCode>0%</c:formatCode>
                <c:ptCount val="24"/>
                <c:pt idx="0">
                  <c:v>-6.7430883344587144E-4</c:v>
                </c:pt>
                <c:pt idx="1">
                  <c:v>-3.3738191632928477E-3</c:v>
                </c:pt>
                <c:pt idx="2">
                  <c:v>-2.7081922816518437E-3</c:v>
                </c:pt>
                <c:pt idx="3">
                  <c:v>-5.2545824847250566E-2</c:v>
                </c:pt>
                <c:pt idx="4">
                  <c:v>0</c:v>
                </c:pt>
                <c:pt idx="5">
                  <c:v>8.05388363427917E-2</c:v>
                </c:pt>
                <c:pt idx="6">
                  <c:v>0</c:v>
                </c:pt>
                <c:pt idx="7">
                  <c:v>1.3925729442970783E-2</c:v>
                </c:pt>
                <c:pt idx="8">
                  <c:v>7.194244604316509E-3</c:v>
                </c:pt>
                <c:pt idx="9">
                  <c:v>7.7922077922077185E-3</c:v>
                </c:pt>
                <c:pt idx="10">
                  <c:v>9.6649484536082478E-3</c:v>
                </c:pt>
                <c:pt idx="11">
                  <c:v>1.2763241863434401E-3</c:v>
                </c:pt>
                <c:pt idx="12">
                  <c:v>-5.7361376673040511E-3</c:v>
                </c:pt>
                <c:pt idx="13">
                  <c:v>3.205128205128205E-3</c:v>
                </c:pt>
                <c:pt idx="14">
                  <c:v>2.5559105431310269E-3</c:v>
                </c:pt>
                <c:pt idx="15">
                  <c:v>7.0108349267048713E-3</c:v>
                </c:pt>
                <c:pt idx="16">
                  <c:v>9.4936708860759497E-3</c:v>
                </c:pt>
                <c:pt idx="17">
                  <c:v>5.6426332288401614E-3</c:v>
                </c:pt>
                <c:pt idx="18">
                  <c:v>8.7281795511222303E-3</c:v>
                </c:pt>
                <c:pt idx="19">
                  <c:v>3.0902348578491965E-3</c:v>
                </c:pt>
                <c:pt idx="20">
                  <c:v>0</c:v>
                </c:pt>
                <c:pt idx="21">
                  <c:v>1.4171287738755286E-2</c:v>
                </c:pt>
                <c:pt idx="22">
                  <c:v>6.0753341433778859E-3</c:v>
                </c:pt>
                <c:pt idx="23">
                  <c:v>-2.4154589371981022E-3</c:v>
                </c:pt>
              </c:numCache>
            </c:numRef>
          </c:val>
          <c:smooth val="0"/>
          <c:extLst>
            <c:ext xmlns:c16="http://schemas.microsoft.com/office/drawing/2014/chart" uri="{C3380CC4-5D6E-409C-BE32-E72D297353CC}">
              <c16:uniqueId val="{00000002-F25A-4A82-82FB-61100816F8B5}"/>
            </c:ext>
          </c:extLst>
        </c:ser>
        <c:dLbls>
          <c:showLegendKey val="0"/>
          <c:showVal val="0"/>
          <c:showCatName val="0"/>
          <c:showSerName val="0"/>
          <c:showPercent val="0"/>
          <c:showBubbleSize val="0"/>
        </c:dLbls>
        <c:marker val="1"/>
        <c:smooth val="0"/>
        <c:axId val="349250351"/>
        <c:axId val="349252751"/>
      </c:lineChart>
      <c:catAx>
        <c:axId val="3492503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252751"/>
        <c:crosses val="autoZero"/>
        <c:auto val="1"/>
        <c:lblAlgn val="ctr"/>
        <c:lblOffset val="100"/>
        <c:noMultiLvlLbl val="0"/>
      </c:catAx>
      <c:valAx>
        <c:axId val="3492527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25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CASE.xlsx]Pivot!PivotTable11</c:name>
    <c:fmtId val="4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MoM(May'22 - May'23) Food Inflation Absolute Changes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Pivot!$H$99:$H$100</c:f>
              <c:strCache>
                <c:ptCount val="1"/>
                <c:pt idx="0">
                  <c:v>Rural+Urban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Pivot!$G$101:$G$116</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8">
                    <c:v>2023</c:v>
                  </c:pt>
                </c:lvl>
              </c:multiLvlStrCache>
            </c:multiLvlStrRef>
          </c:cat>
          <c:val>
            <c:numRef>
              <c:f>Pivot!$H$101:$H$116</c:f>
              <c:numCache>
                <c:formatCode>0%</c:formatCode>
                <c:ptCount val="13"/>
                <c:pt idx="0">
                  <c:v>0</c:v>
                </c:pt>
                <c:pt idx="1">
                  <c:v>1.0272901871454425E-2</c:v>
                </c:pt>
                <c:pt idx="2">
                  <c:v>1.9452672531943328E-3</c:v>
                </c:pt>
                <c:pt idx="3">
                  <c:v>1.2796187618585007E-3</c:v>
                </c:pt>
                <c:pt idx="4">
                  <c:v>5.1560021152829514E-3</c:v>
                </c:pt>
                <c:pt idx="5">
                  <c:v>7.1901442413082701E-3</c:v>
                </c:pt>
                <c:pt idx="6">
                  <c:v>-2.176468027685168E-4</c:v>
                </c:pt>
                <c:pt idx="7">
                  <c:v>-5.8342041100662182E-3</c:v>
                </c:pt>
                <c:pt idx="8">
                  <c:v>4.0728737847069707E-3</c:v>
                </c:pt>
                <c:pt idx="9">
                  <c:v>-5.9318707201117182E-3</c:v>
                </c:pt>
                <c:pt idx="10">
                  <c:v>4.3876968978992914E-5</c:v>
                </c:pt>
                <c:pt idx="11">
                  <c:v>4.5630045630047902E-3</c:v>
                </c:pt>
                <c:pt idx="12">
                  <c:v>7.555904961565281E-3</c:v>
                </c:pt>
              </c:numCache>
            </c:numRef>
          </c:val>
          <c:smooth val="0"/>
          <c:extLst>
            <c:ext xmlns:c16="http://schemas.microsoft.com/office/drawing/2014/chart" uri="{C3380CC4-5D6E-409C-BE32-E72D297353CC}">
              <c16:uniqueId val="{00000000-20FB-4F5A-9FA2-E47A7DE8E2C3}"/>
            </c:ext>
          </c:extLst>
        </c:ser>
        <c:dLbls>
          <c:showLegendKey val="0"/>
          <c:showVal val="0"/>
          <c:showCatName val="0"/>
          <c:showSerName val="0"/>
          <c:showPercent val="0"/>
          <c:showBubbleSize val="0"/>
        </c:dLbls>
        <c:marker val="1"/>
        <c:smooth val="0"/>
        <c:axId val="1738365855"/>
        <c:axId val="1666872143"/>
      </c:lineChart>
      <c:catAx>
        <c:axId val="17383658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872143"/>
        <c:crosses val="autoZero"/>
        <c:auto val="1"/>
        <c:lblAlgn val="ctr"/>
        <c:lblOffset val="100"/>
        <c:noMultiLvlLbl val="0"/>
      </c:catAx>
      <c:valAx>
        <c:axId val="16668721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3658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CASE.xlsx]Pivot!PivotTable12</c:name>
    <c:fmtId val="6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baseline="0">
                <a:solidFill>
                  <a:schemeClr val="bg1"/>
                </a:solidFill>
              </a:rPr>
              <a:t>Biggest Contributer to Food Inflation in May'22 - May'23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Pivot!$N$99</c:f>
              <c:strCache>
                <c:ptCount val="1"/>
                <c:pt idx="0">
                  <c:v>Sum of Cereals and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Pivot!$N$100:$N$101</c:f>
              <c:numCache>
                <c:formatCode>0.00</c:formatCode>
                <c:ptCount val="1"/>
                <c:pt idx="0">
                  <c:v>2161.3000000000002</c:v>
                </c:pt>
              </c:numCache>
            </c:numRef>
          </c:val>
          <c:extLst>
            <c:ext xmlns:c16="http://schemas.microsoft.com/office/drawing/2014/chart" uri="{C3380CC4-5D6E-409C-BE32-E72D297353CC}">
              <c16:uniqueId val="{00000000-A072-4608-A3A3-3219B651A093}"/>
            </c:ext>
          </c:extLst>
        </c:ser>
        <c:ser>
          <c:idx val="1"/>
          <c:order val="1"/>
          <c:tx>
            <c:strRef>
              <c:f>Pivot!$O$99</c:f>
              <c:strCache>
                <c:ptCount val="1"/>
                <c:pt idx="0">
                  <c:v>Sum of Meat and fish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Pivot!$O$100:$O$101</c:f>
              <c:numCache>
                <c:formatCode>0.00</c:formatCode>
                <c:ptCount val="1"/>
                <c:pt idx="0">
                  <c:v>2744.1</c:v>
                </c:pt>
              </c:numCache>
            </c:numRef>
          </c:val>
          <c:extLst>
            <c:ext xmlns:c16="http://schemas.microsoft.com/office/drawing/2014/chart" uri="{C3380CC4-5D6E-409C-BE32-E72D297353CC}">
              <c16:uniqueId val="{00000001-A072-4608-A3A3-3219B651A093}"/>
            </c:ext>
          </c:extLst>
        </c:ser>
        <c:ser>
          <c:idx val="2"/>
          <c:order val="2"/>
          <c:tx>
            <c:strRef>
              <c:f>Pivot!$P$99</c:f>
              <c:strCache>
                <c:ptCount val="1"/>
                <c:pt idx="0">
                  <c:v>Sum of Egg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Pivot!$P$100:$P$101</c:f>
              <c:numCache>
                <c:formatCode>0.00</c:formatCode>
                <c:ptCount val="1"/>
                <c:pt idx="0">
                  <c:v>2277.5</c:v>
                </c:pt>
              </c:numCache>
            </c:numRef>
          </c:val>
          <c:extLst>
            <c:ext xmlns:c16="http://schemas.microsoft.com/office/drawing/2014/chart" uri="{C3380CC4-5D6E-409C-BE32-E72D297353CC}">
              <c16:uniqueId val="{00000002-A072-4608-A3A3-3219B651A093}"/>
            </c:ext>
          </c:extLst>
        </c:ser>
        <c:ser>
          <c:idx val="3"/>
          <c:order val="3"/>
          <c:tx>
            <c:strRef>
              <c:f>Pivot!$Q$99</c:f>
              <c:strCache>
                <c:ptCount val="1"/>
                <c:pt idx="0">
                  <c:v>Sum of Milk and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Pivot!$Q$100:$Q$101</c:f>
              <c:numCache>
                <c:formatCode>0.00</c:formatCode>
                <c:ptCount val="1"/>
                <c:pt idx="0">
                  <c:v>2238.9999999999995</c:v>
                </c:pt>
              </c:numCache>
            </c:numRef>
          </c:val>
          <c:extLst>
            <c:ext xmlns:c16="http://schemas.microsoft.com/office/drawing/2014/chart" uri="{C3380CC4-5D6E-409C-BE32-E72D297353CC}">
              <c16:uniqueId val="{00000003-A072-4608-A3A3-3219B651A093}"/>
            </c:ext>
          </c:extLst>
        </c:ser>
        <c:ser>
          <c:idx val="4"/>
          <c:order val="4"/>
          <c:tx>
            <c:strRef>
              <c:f>Pivot!$R$99</c:f>
              <c:strCache>
                <c:ptCount val="1"/>
                <c:pt idx="0">
                  <c:v>Sum of Oils and fats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Pivot!$R$100:$R$101</c:f>
              <c:numCache>
                <c:formatCode>0.00</c:formatCode>
                <c:ptCount val="1"/>
                <c:pt idx="0">
                  <c:v>2434.7000000000003</c:v>
                </c:pt>
              </c:numCache>
            </c:numRef>
          </c:val>
          <c:extLst>
            <c:ext xmlns:c16="http://schemas.microsoft.com/office/drawing/2014/chart" uri="{C3380CC4-5D6E-409C-BE32-E72D297353CC}">
              <c16:uniqueId val="{00000004-A072-4608-A3A3-3219B651A093}"/>
            </c:ext>
          </c:extLst>
        </c:ser>
        <c:ser>
          <c:idx val="5"/>
          <c:order val="5"/>
          <c:tx>
            <c:strRef>
              <c:f>Pivot!$S$99</c:f>
              <c:strCache>
                <c:ptCount val="1"/>
                <c:pt idx="0">
                  <c:v>Sum of Fruits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Pivot!$S$100:$S$101</c:f>
              <c:numCache>
                <c:formatCode>0.00</c:formatCode>
                <c:ptCount val="1"/>
                <c:pt idx="0">
                  <c:v>2181.8000000000002</c:v>
                </c:pt>
              </c:numCache>
            </c:numRef>
          </c:val>
          <c:extLst>
            <c:ext xmlns:c16="http://schemas.microsoft.com/office/drawing/2014/chart" uri="{C3380CC4-5D6E-409C-BE32-E72D297353CC}">
              <c16:uniqueId val="{00000005-A072-4608-A3A3-3219B651A093}"/>
            </c:ext>
          </c:extLst>
        </c:ser>
        <c:ser>
          <c:idx val="6"/>
          <c:order val="6"/>
          <c:tx>
            <c:strRef>
              <c:f>Pivot!$T$99</c:f>
              <c:strCache>
                <c:ptCount val="1"/>
                <c:pt idx="0">
                  <c:v>Sum of Vegetables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Pivot!$T$100:$T$101</c:f>
              <c:numCache>
                <c:formatCode>0.00</c:formatCode>
                <c:ptCount val="1"/>
                <c:pt idx="0">
                  <c:v>2236.3000000000002</c:v>
                </c:pt>
              </c:numCache>
            </c:numRef>
          </c:val>
          <c:extLst>
            <c:ext xmlns:c16="http://schemas.microsoft.com/office/drawing/2014/chart" uri="{C3380CC4-5D6E-409C-BE32-E72D297353CC}">
              <c16:uniqueId val="{00000006-A072-4608-A3A3-3219B651A093}"/>
            </c:ext>
          </c:extLst>
        </c:ser>
        <c:ser>
          <c:idx val="7"/>
          <c:order val="7"/>
          <c:tx>
            <c:strRef>
              <c:f>Pivot!$U$99</c:f>
              <c:strCache>
                <c:ptCount val="1"/>
                <c:pt idx="0">
                  <c:v>Sum of Pulses and products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Pivot!$U$100:$U$101</c:f>
              <c:numCache>
                <c:formatCode>0.00</c:formatCode>
                <c:ptCount val="1"/>
                <c:pt idx="0">
                  <c:v>2202.7000000000003</c:v>
                </c:pt>
              </c:numCache>
            </c:numRef>
          </c:val>
          <c:extLst>
            <c:ext xmlns:c16="http://schemas.microsoft.com/office/drawing/2014/chart" uri="{C3380CC4-5D6E-409C-BE32-E72D297353CC}">
              <c16:uniqueId val="{00000007-A072-4608-A3A3-3219B651A093}"/>
            </c:ext>
          </c:extLst>
        </c:ser>
        <c:ser>
          <c:idx val="8"/>
          <c:order val="8"/>
          <c:tx>
            <c:strRef>
              <c:f>Pivot!$V$99</c:f>
              <c:strCache>
                <c:ptCount val="1"/>
                <c:pt idx="0">
                  <c:v>Sum of Sugar and Confectionery</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Pivot!$V$100:$V$101</c:f>
              <c:numCache>
                <c:formatCode>0.00</c:formatCode>
                <c:ptCount val="1"/>
                <c:pt idx="0">
                  <c:v>1573</c:v>
                </c:pt>
              </c:numCache>
            </c:numRef>
          </c:val>
          <c:extLst>
            <c:ext xmlns:c16="http://schemas.microsoft.com/office/drawing/2014/chart" uri="{C3380CC4-5D6E-409C-BE32-E72D297353CC}">
              <c16:uniqueId val="{00000008-A072-4608-A3A3-3219B651A093}"/>
            </c:ext>
          </c:extLst>
        </c:ser>
        <c:ser>
          <c:idx val="9"/>
          <c:order val="9"/>
          <c:tx>
            <c:strRef>
              <c:f>Pivot!$W$99</c:f>
              <c:strCache>
                <c:ptCount val="1"/>
                <c:pt idx="0">
                  <c:v>Sum of Spices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Pivot!$W$100:$W$101</c:f>
              <c:numCache>
                <c:formatCode>0.00</c:formatCode>
                <c:ptCount val="1"/>
                <c:pt idx="0">
                  <c:v>2619.5</c:v>
                </c:pt>
              </c:numCache>
            </c:numRef>
          </c:val>
          <c:extLst>
            <c:ext xmlns:c16="http://schemas.microsoft.com/office/drawing/2014/chart" uri="{C3380CC4-5D6E-409C-BE32-E72D297353CC}">
              <c16:uniqueId val="{00000009-A072-4608-A3A3-3219B651A093}"/>
            </c:ext>
          </c:extLst>
        </c:ser>
        <c:ser>
          <c:idx val="10"/>
          <c:order val="10"/>
          <c:tx>
            <c:strRef>
              <c:f>Pivot!$X$99</c:f>
              <c:strCache>
                <c:ptCount val="1"/>
                <c:pt idx="0">
                  <c:v>Sum of Non-alcoholic beverages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Pivot!$X$100:$X$101</c:f>
              <c:numCache>
                <c:formatCode>0.00</c:formatCode>
                <c:ptCount val="1"/>
                <c:pt idx="0">
                  <c:v>2215.2000000000003</c:v>
                </c:pt>
              </c:numCache>
            </c:numRef>
          </c:val>
          <c:extLst>
            <c:ext xmlns:c16="http://schemas.microsoft.com/office/drawing/2014/chart" uri="{C3380CC4-5D6E-409C-BE32-E72D297353CC}">
              <c16:uniqueId val="{0000000A-A072-4608-A3A3-3219B651A093}"/>
            </c:ext>
          </c:extLst>
        </c:ser>
        <c:ser>
          <c:idx val="11"/>
          <c:order val="11"/>
          <c:tx>
            <c:strRef>
              <c:f>Pivot!$Y$99</c:f>
              <c:strCache>
                <c:ptCount val="1"/>
                <c:pt idx="0">
                  <c:v>Sum of Prepared meals, snacks, sweets etc.</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Pivot!$Y$100:$Y$101</c:f>
              <c:numCache>
                <c:formatCode>0.00</c:formatCode>
                <c:ptCount val="1"/>
                <c:pt idx="0">
                  <c:v>2458.3000000000006</c:v>
                </c:pt>
              </c:numCache>
            </c:numRef>
          </c:val>
          <c:extLst>
            <c:ext xmlns:c16="http://schemas.microsoft.com/office/drawing/2014/chart" uri="{C3380CC4-5D6E-409C-BE32-E72D297353CC}">
              <c16:uniqueId val="{0000000B-A072-4608-A3A3-3219B651A093}"/>
            </c:ext>
          </c:extLst>
        </c:ser>
        <c:ser>
          <c:idx val="12"/>
          <c:order val="12"/>
          <c:tx>
            <c:strRef>
              <c:f>Pivot!$Z$99</c:f>
              <c:strCache>
                <c:ptCount val="1"/>
                <c:pt idx="0">
                  <c:v>Sum of Food and beverages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Pivot!$M$100:$M$101</c:f>
              <c:strCache>
                <c:ptCount val="1"/>
                <c:pt idx="0">
                  <c:v>Rural+Urban</c:v>
                </c:pt>
              </c:strCache>
            </c:strRef>
          </c:cat>
          <c:val>
            <c:numRef>
              <c:f>Pivot!$Z$100:$Z$101</c:f>
              <c:numCache>
                <c:formatCode>0.00</c:formatCode>
                <c:ptCount val="1"/>
                <c:pt idx="0">
                  <c:v>2298.8000000000002</c:v>
                </c:pt>
              </c:numCache>
            </c:numRef>
          </c:val>
          <c:extLst>
            <c:ext xmlns:c16="http://schemas.microsoft.com/office/drawing/2014/chart" uri="{C3380CC4-5D6E-409C-BE32-E72D297353CC}">
              <c16:uniqueId val="{0000000C-A072-4608-A3A3-3219B651A093}"/>
            </c:ext>
          </c:extLst>
        </c:ser>
        <c:dLbls>
          <c:showLegendKey val="0"/>
          <c:showVal val="0"/>
          <c:showCatName val="0"/>
          <c:showSerName val="0"/>
          <c:showPercent val="0"/>
          <c:showBubbleSize val="0"/>
        </c:dLbls>
        <c:gapWidth val="100"/>
        <c:overlap val="-24"/>
        <c:axId val="1466473887"/>
        <c:axId val="1466476287"/>
      </c:barChart>
      <c:catAx>
        <c:axId val="1466473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6476287"/>
        <c:crosses val="autoZero"/>
        <c:auto val="1"/>
        <c:lblAlgn val="ctr"/>
        <c:lblOffset val="100"/>
        <c:noMultiLvlLbl val="0"/>
      </c:catAx>
      <c:valAx>
        <c:axId val="146647628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647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CASE.xlsx]Pivot!PivotTable10</c:name>
    <c:fmtId val="7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kern="1200" cap="all" spc="120" normalizeH="0" baseline="0">
                <a:solidFill>
                  <a:schemeClr val="bg1"/>
                </a:solidFill>
              </a:rPr>
              <a:t>Categories Strongly Influenced By Oil Price Fluctuations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Pivot!$B$124:$B$126</c:f>
              <c:strCache>
                <c:ptCount val="1"/>
                <c:pt idx="0">
                  <c:v>Urban - Sum of Oil Price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Pivot!$B$127:$B$156</c:f>
              <c:numCache>
                <c:formatCode>General</c:formatCode>
                <c:ptCount val="26"/>
                <c:pt idx="0">
                  <c:v>54.79</c:v>
                </c:pt>
                <c:pt idx="1">
                  <c:v>61.22</c:v>
                </c:pt>
                <c:pt idx="2">
                  <c:v>64.73</c:v>
                </c:pt>
                <c:pt idx="3">
                  <c:v>63.4</c:v>
                </c:pt>
                <c:pt idx="4">
                  <c:v>66.95</c:v>
                </c:pt>
                <c:pt idx="5">
                  <c:v>71.98</c:v>
                </c:pt>
                <c:pt idx="6">
                  <c:v>73.540000000000006</c:v>
                </c:pt>
                <c:pt idx="7">
                  <c:v>69.8</c:v>
                </c:pt>
                <c:pt idx="8">
                  <c:v>73.13</c:v>
                </c:pt>
                <c:pt idx="9">
                  <c:v>82.11</c:v>
                </c:pt>
                <c:pt idx="10">
                  <c:v>80.64</c:v>
                </c:pt>
                <c:pt idx="11">
                  <c:v>73.3</c:v>
                </c:pt>
                <c:pt idx="12">
                  <c:v>84.67</c:v>
                </c:pt>
                <c:pt idx="13">
                  <c:v>94.07</c:v>
                </c:pt>
                <c:pt idx="14">
                  <c:v>112.87</c:v>
                </c:pt>
                <c:pt idx="15">
                  <c:v>102.97</c:v>
                </c:pt>
                <c:pt idx="16">
                  <c:v>109.51</c:v>
                </c:pt>
                <c:pt idx="17">
                  <c:v>116.01</c:v>
                </c:pt>
                <c:pt idx="18">
                  <c:v>105.49</c:v>
                </c:pt>
                <c:pt idx="19">
                  <c:v>97.4</c:v>
                </c:pt>
                <c:pt idx="20">
                  <c:v>90.71</c:v>
                </c:pt>
                <c:pt idx="21">
                  <c:v>91.7</c:v>
                </c:pt>
                <c:pt idx="22">
                  <c:v>87.55</c:v>
                </c:pt>
                <c:pt idx="23">
                  <c:v>78.099999999999994</c:v>
                </c:pt>
                <c:pt idx="24">
                  <c:v>80.92</c:v>
                </c:pt>
                <c:pt idx="25">
                  <c:v>82.28</c:v>
                </c:pt>
              </c:numCache>
            </c:numRef>
          </c:val>
          <c:smooth val="0"/>
          <c:extLst>
            <c:ext xmlns:c16="http://schemas.microsoft.com/office/drawing/2014/chart" uri="{C3380CC4-5D6E-409C-BE32-E72D297353CC}">
              <c16:uniqueId val="{00000000-57BA-46C8-8F55-B4D56967FE33}"/>
            </c:ext>
          </c:extLst>
        </c:ser>
        <c:ser>
          <c:idx val="1"/>
          <c:order val="1"/>
          <c:tx>
            <c:strRef>
              <c:f>Pivot!$C$124:$C$126</c:f>
              <c:strCache>
                <c:ptCount val="1"/>
                <c:pt idx="0">
                  <c:v>Urban - Sum of Meat and fish</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Pivot!$C$127:$C$156</c:f>
              <c:numCache>
                <c:formatCode>0.00</c:formatCode>
                <c:ptCount val="26"/>
                <c:pt idx="0">
                  <c:v>194.8</c:v>
                </c:pt>
                <c:pt idx="1">
                  <c:v>191.2</c:v>
                </c:pt>
                <c:pt idx="2">
                  <c:v>197.5</c:v>
                </c:pt>
                <c:pt idx="3">
                  <c:v>202.5</c:v>
                </c:pt>
                <c:pt idx="4">
                  <c:v>204.3</c:v>
                </c:pt>
                <c:pt idx="5">
                  <c:v>205.5</c:v>
                </c:pt>
                <c:pt idx="6">
                  <c:v>210.9</c:v>
                </c:pt>
                <c:pt idx="7">
                  <c:v>207.4</c:v>
                </c:pt>
                <c:pt idx="8">
                  <c:v>207.4</c:v>
                </c:pt>
                <c:pt idx="9">
                  <c:v>208.4</c:v>
                </c:pt>
                <c:pt idx="10">
                  <c:v>204.9</c:v>
                </c:pt>
                <c:pt idx="11">
                  <c:v>202.2</c:v>
                </c:pt>
                <c:pt idx="12">
                  <c:v>202.1</c:v>
                </c:pt>
                <c:pt idx="13">
                  <c:v>205.2</c:v>
                </c:pt>
                <c:pt idx="14">
                  <c:v>215.8</c:v>
                </c:pt>
                <c:pt idx="15">
                  <c:v>215.8</c:v>
                </c:pt>
                <c:pt idx="16">
                  <c:v>221.2</c:v>
                </c:pt>
                <c:pt idx="17">
                  <c:v>223.4</c:v>
                </c:pt>
                <c:pt idx="18">
                  <c:v>217.1</c:v>
                </c:pt>
                <c:pt idx="19">
                  <c:v>210.9</c:v>
                </c:pt>
                <c:pt idx="20">
                  <c:v>213.7</c:v>
                </c:pt>
                <c:pt idx="21">
                  <c:v>214.9</c:v>
                </c:pt>
                <c:pt idx="22">
                  <c:v>213.4</c:v>
                </c:pt>
                <c:pt idx="23">
                  <c:v>212.9</c:v>
                </c:pt>
                <c:pt idx="24">
                  <c:v>215.2</c:v>
                </c:pt>
                <c:pt idx="25">
                  <c:v>212.2</c:v>
                </c:pt>
              </c:numCache>
            </c:numRef>
          </c:val>
          <c:smooth val="0"/>
          <c:extLst>
            <c:ext xmlns:c16="http://schemas.microsoft.com/office/drawing/2014/chart" uri="{C3380CC4-5D6E-409C-BE32-E72D297353CC}">
              <c16:uniqueId val="{00000001-57BA-46C8-8F55-B4D56967FE33}"/>
            </c:ext>
          </c:extLst>
        </c:ser>
        <c:ser>
          <c:idx val="2"/>
          <c:order val="2"/>
          <c:tx>
            <c:strRef>
              <c:f>Pivot!$D$124:$D$126</c:f>
              <c:strCache>
                <c:ptCount val="1"/>
                <c:pt idx="0">
                  <c:v>Urban - Sum of Oils and fats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Pivot!$D$127:$D$156</c:f>
              <c:numCache>
                <c:formatCode>0.00</c:formatCode>
                <c:ptCount val="26"/>
                <c:pt idx="0">
                  <c:v>144.1</c:v>
                </c:pt>
                <c:pt idx="1">
                  <c:v>151.4</c:v>
                </c:pt>
                <c:pt idx="2">
                  <c:v>156.4</c:v>
                </c:pt>
                <c:pt idx="3">
                  <c:v>161.4</c:v>
                </c:pt>
                <c:pt idx="4">
                  <c:v>168.8</c:v>
                </c:pt>
                <c:pt idx="5">
                  <c:v>172.2</c:v>
                </c:pt>
                <c:pt idx="6">
                  <c:v>170.6</c:v>
                </c:pt>
                <c:pt idx="7">
                  <c:v>175</c:v>
                </c:pt>
                <c:pt idx="8">
                  <c:v>175</c:v>
                </c:pt>
                <c:pt idx="9">
                  <c:v>176.6</c:v>
                </c:pt>
                <c:pt idx="10">
                  <c:v>175.8</c:v>
                </c:pt>
                <c:pt idx="11">
                  <c:v>173.5</c:v>
                </c:pt>
                <c:pt idx="12">
                  <c:v>171</c:v>
                </c:pt>
                <c:pt idx="13">
                  <c:v>171.5</c:v>
                </c:pt>
                <c:pt idx="14">
                  <c:v>180</c:v>
                </c:pt>
                <c:pt idx="15">
                  <c:v>186</c:v>
                </c:pt>
                <c:pt idx="16">
                  <c:v>189.5</c:v>
                </c:pt>
                <c:pt idx="17">
                  <c:v>188.6</c:v>
                </c:pt>
                <c:pt idx="18">
                  <c:v>184.8</c:v>
                </c:pt>
                <c:pt idx="19">
                  <c:v>182.5</c:v>
                </c:pt>
                <c:pt idx="20">
                  <c:v>179.3</c:v>
                </c:pt>
                <c:pt idx="21">
                  <c:v>177.7</c:v>
                </c:pt>
                <c:pt idx="22">
                  <c:v>180</c:v>
                </c:pt>
                <c:pt idx="23">
                  <c:v>179.1</c:v>
                </c:pt>
                <c:pt idx="24">
                  <c:v>178</c:v>
                </c:pt>
                <c:pt idx="25">
                  <c:v>172.2</c:v>
                </c:pt>
              </c:numCache>
            </c:numRef>
          </c:val>
          <c:smooth val="0"/>
          <c:extLst>
            <c:ext xmlns:c16="http://schemas.microsoft.com/office/drawing/2014/chart" uri="{C3380CC4-5D6E-409C-BE32-E72D297353CC}">
              <c16:uniqueId val="{00000002-57BA-46C8-8F55-B4D56967FE33}"/>
            </c:ext>
          </c:extLst>
        </c:ser>
        <c:ser>
          <c:idx val="3"/>
          <c:order val="3"/>
          <c:tx>
            <c:strRef>
              <c:f>Pivot!$E$124:$E$126</c:f>
              <c:strCache>
                <c:ptCount val="1"/>
                <c:pt idx="0">
                  <c:v>Urban - Sum of Prepared meals, snacks, sweets etc.</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Pivot!$E$127:$E$156</c:f>
              <c:numCache>
                <c:formatCode>0.00</c:formatCode>
                <c:ptCount val="26"/>
                <c:pt idx="0">
                  <c:v>167.2</c:v>
                </c:pt>
                <c:pt idx="1">
                  <c:v>169.4</c:v>
                </c:pt>
                <c:pt idx="2">
                  <c:v>170.3</c:v>
                </c:pt>
                <c:pt idx="3">
                  <c:v>171.4</c:v>
                </c:pt>
                <c:pt idx="4">
                  <c:v>171.1</c:v>
                </c:pt>
                <c:pt idx="5">
                  <c:v>173.3</c:v>
                </c:pt>
                <c:pt idx="6">
                  <c:v>173.5</c:v>
                </c:pt>
                <c:pt idx="7">
                  <c:v>175.1</c:v>
                </c:pt>
                <c:pt idx="8">
                  <c:v>175.1</c:v>
                </c:pt>
                <c:pt idx="9">
                  <c:v>175.9</c:v>
                </c:pt>
                <c:pt idx="10">
                  <c:v>176.8</c:v>
                </c:pt>
                <c:pt idx="11">
                  <c:v>178.2</c:v>
                </c:pt>
                <c:pt idx="12">
                  <c:v>179</c:v>
                </c:pt>
                <c:pt idx="13">
                  <c:v>180</c:v>
                </c:pt>
                <c:pt idx="14">
                  <c:v>181.5</c:v>
                </c:pt>
                <c:pt idx="15">
                  <c:v>183.3</c:v>
                </c:pt>
                <c:pt idx="16">
                  <c:v>184.9</c:v>
                </c:pt>
                <c:pt idx="17">
                  <c:v>186.3</c:v>
                </c:pt>
                <c:pt idx="18">
                  <c:v>187.7</c:v>
                </c:pt>
                <c:pt idx="19">
                  <c:v>188.9</c:v>
                </c:pt>
                <c:pt idx="20">
                  <c:v>190.4</c:v>
                </c:pt>
                <c:pt idx="21">
                  <c:v>191.5</c:v>
                </c:pt>
                <c:pt idx="22">
                  <c:v>192.4</c:v>
                </c:pt>
                <c:pt idx="23">
                  <c:v>193.3</c:v>
                </c:pt>
                <c:pt idx="24">
                  <c:v>194.3</c:v>
                </c:pt>
                <c:pt idx="25">
                  <c:v>196.6</c:v>
                </c:pt>
              </c:numCache>
            </c:numRef>
          </c:val>
          <c:smooth val="0"/>
          <c:extLst>
            <c:ext xmlns:c16="http://schemas.microsoft.com/office/drawing/2014/chart" uri="{C3380CC4-5D6E-409C-BE32-E72D297353CC}">
              <c16:uniqueId val="{00000003-57BA-46C8-8F55-B4D56967FE33}"/>
            </c:ext>
          </c:extLst>
        </c:ser>
        <c:ser>
          <c:idx val="4"/>
          <c:order val="4"/>
          <c:tx>
            <c:strRef>
              <c:f>Pivot!$F$124:$F$126</c:f>
              <c:strCache>
                <c:ptCount val="1"/>
                <c:pt idx="0">
                  <c:v>Urban - Sum of Food and beverages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Pivot!$F$127:$F$156</c:f>
              <c:numCache>
                <c:formatCode>0.00</c:formatCode>
                <c:ptCount val="26"/>
                <c:pt idx="0">
                  <c:v>163.4</c:v>
                </c:pt>
                <c:pt idx="1">
                  <c:v>160.80000000000001</c:v>
                </c:pt>
                <c:pt idx="2">
                  <c:v>160.4</c:v>
                </c:pt>
                <c:pt idx="3">
                  <c:v>162</c:v>
                </c:pt>
                <c:pt idx="4">
                  <c:v>164.2</c:v>
                </c:pt>
                <c:pt idx="5">
                  <c:v>166.2</c:v>
                </c:pt>
                <c:pt idx="6">
                  <c:v>167.9</c:v>
                </c:pt>
                <c:pt idx="7">
                  <c:v>167.3</c:v>
                </c:pt>
                <c:pt idx="8">
                  <c:v>167.3</c:v>
                </c:pt>
                <c:pt idx="9">
                  <c:v>171.5</c:v>
                </c:pt>
                <c:pt idx="10">
                  <c:v>173.5</c:v>
                </c:pt>
                <c:pt idx="11">
                  <c:v>172.2</c:v>
                </c:pt>
                <c:pt idx="12">
                  <c:v>170.3</c:v>
                </c:pt>
                <c:pt idx="13">
                  <c:v>170.2</c:v>
                </c:pt>
                <c:pt idx="14">
                  <c:v>171.5</c:v>
                </c:pt>
                <c:pt idx="15">
                  <c:v>174.5</c:v>
                </c:pt>
                <c:pt idx="16">
                  <c:v>177.5</c:v>
                </c:pt>
                <c:pt idx="17">
                  <c:v>179.3</c:v>
                </c:pt>
                <c:pt idx="18">
                  <c:v>179.4</c:v>
                </c:pt>
                <c:pt idx="19">
                  <c:v>180.4</c:v>
                </c:pt>
                <c:pt idx="20">
                  <c:v>181.8</c:v>
                </c:pt>
                <c:pt idx="21">
                  <c:v>183.3</c:v>
                </c:pt>
                <c:pt idx="22">
                  <c:v>181.3</c:v>
                </c:pt>
                <c:pt idx="23">
                  <c:v>178.6</c:v>
                </c:pt>
                <c:pt idx="24">
                  <c:v>179.5</c:v>
                </c:pt>
                <c:pt idx="25">
                  <c:v>180.7</c:v>
                </c:pt>
              </c:numCache>
            </c:numRef>
          </c:val>
          <c:smooth val="0"/>
          <c:extLst>
            <c:ext xmlns:c16="http://schemas.microsoft.com/office/drawing/2014/chart" uri="{C3380CC4-5D6E-409C-BE32-E72D297353CC}">
              <c16:uniqueId val="{00000004-57BA-46C8-8F55-B4D56967FE33}"/>
            </c:ext>
          </c:extLst>
        </c:ser>
        <c:ser>
          <c:idx val="5"/>
          <c:order val="5"/>
          <c:tx>
            <c:strRef>
              <c:f>Pivot!$G$124:$G$126</c:f>
              <c:strCache>
                <c:ptCount val="1"/>
                <c:pt idx="0">
                  <c:v>Urban - Sum of Clothing</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Pivot!$G$127:$G$156</c:f>
              <c:numCache>
                <c:formatCode>0.00</c:formatCode>
                <c:ptCount val="26"/>
                <c:pt idx="0">
                  <c:v>152.5</c:v>
                </c:pt>
                <c:pt idx="1">
                  <c:v>154.19999999999999</c:v>
                </c:pt>
                <c:pt idx="2">
                  <c:v>155.1</c:v>
                </c:pt>
                <c:pt idx="3">
                  <c:v>155.9</c:v>
                </c:pt>
                <c:pt idx="4">
                  <c:v>156.5</c:v>
                </c:pt>
                <c:pt idx="5">
                  <c:v>157.30000000000001</c:v>
                </c:pt>
                <c:pt idx="6">
                  <c:v>157.9</c:v>
                </c:pt>
                <c:pt idx="7">
                  <c:v>159.80000000000001</c:v>
                </c:pt>
                <c:pt idx="8">
                  <c:v>159.80000000000001</c:v>
                </c:pt>
                <c:pt idx="9">
                  <c:v>160.80000000000001</c:v>
                </c:pt>
                <c:pt idx="10">
                  <c:v>162.30000000000001</c:v>
                </c:pt>
                <c:pt idx="11">
                  <c:v>163.30000000000001</c:v>
                </c:pt>
                <c:pt idx="12">
                  <c:v>164.7</c:v>
                </c:pt>
                <c:pt idx="13">
                  <c:v>165.7</c:v>
                </c:pt>
                <c:pt idx="14">
                  <c:v>167.1</c:v>
                </c:pt>
                <c:pt idx="15">
                  <c:v>168.4</c:v>
                </c:pt>
                <c:pt idx="16">
                  <c:v>170</c:v>
                </c:pt>
                <c:pt idx="17">
                  <c:v>171.6</c:v>
                </c:pt>
                <c:pt idx="18">
                  <c:v>172.7</c:v>
                </c:pt>
                <c:pt idx="19">
                  <c:v>173.7</c:v>
                </c:pt>
                <c:pt idx="20">
                  <c:v>175</c:v>
                </c:pt>
                <c:pt idx="21">
                  <c:v>175.5</c:v>
                </c:pt>
                <c:pt idx="22">
                  <c:v>176.7</c:v>
                </c:pt>
                <c:pt idx="23">
                  <c:v>177.7</c:v>
                </c:pt>
                <c:pt idx="24">
                  <c:v>178.7</c:v>
                </c:pt>
                <c:pt idx="25">
                  <c:v>180.3</c:v>
                </c:pt>
              </c:numCache>
            </c:numRef>
          </c:val>
          <c:smooth val="0"/>
          <c:extLst>
            <c:ext xmlns:c16="http://schemas.microsoft.com/office/drawing/2014/chart" uri="{C3380CC4-5D6E-409C-BE32-E72D297353CC}">
              <c16:uniqueId val="{00000005-57BA-46C8-8F55-B4D56967FE33}"/>
            </c:ext>
          </c:extLst>
        </c:ser>
        <c:ser>
          <c:idx val="6"/>
          <c:order val="6"/>
          <c:tx>
            <c:strRef>
              <c:f>Pivot!$H$124:$H$126</c:f>
              <c:strCache>
                <c:ptCount val="1"/>
                <c:pt idx="0">
                  <c:v>Urban - Sum of Transport and communication</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Pivot!$H$127:$H$156</c:f>
              <c:numCache>
                <c:formatCode>0.00</c:formatCode>
                <c:ptCount val="26"/>
                <c:pt idx="0">
                  <c:v>136.9</c:v>
                </c:pt>
                <c:pt idx="1">
                  <c:v>140.5</c:v>
                </c:pt>
                <c:pt idx="2">
                  <c:v>141.69999999999999</c:v>
                </c:pt>
                <c:pt idx="3">
                  <c:v>142.1</c:v>
                </c:pt>
                <c:pt idx="4">
                  <c:v>145</c:v>
                </c:pt>
                <c:pt idx="5">
                  <c:v>147.5</c:v>
                </c:pt>
                <c:pt idx="6">
                  <c:v>149.5</c:v>
                </c:pt>
                <c:pt idx="7">
                  <c:v>150.4</c:v>
                </c:pt>
                <c:pt idx="8">
                  <c:v>150.5</c:v>
                </c:pt>
                <c:pt idx="9">
                  <c:v>152.19999999999999</c:v>
                </c:pt>
                <c:pt idx="10">
                  <c:v>151.19999999999999</c:v>
                </c:pt>
                <c:pt idx="11">
                  <c:v>151.80000000000001</c:v>
                </c:pt>
                <c:pt idx="12">
                  <c:v>152.69999999999999</c:v>
                </c:pt>
                <c:pt idx="13">
                  <c:v>153.1</c:v>
                </c:pt>
                <c:pt idx="14">
                  <c:v>154.19999999999999</c:v>
                </c:pt>
                <c:pt idx="15">
                  <c:v>159.30000000000001</c:v>
                </c:pt>
                <c:pt idx="16">
                  <c:v>159.4</c:v>
                </c:pt>
                <c:pt idx="17">
                  <c:v>157.19999999999999</c:v>
                </c:pt>
                <c:pt idx="18">
                  <c:v>157.4</c:v>
                </c:pt>
                <c:pt idx="19">
                  <c:v>157.69999999999999</c:v>
                </c:pt>
                <c:pt idx="20">
                  <c:v>158.19999999999999</c:v>
                </c:pt>
                <c:pt idx="21">
                  <c:v>158.80000000000001</c:v>
                </c:pt>
                <c:pt idx="22">
                  <c:v>158.9</c:v>
                </c:pt>
                <c:pt idx="23">
                  <c:v>159.4</c:v>
                </c:pt>
                <c:pt idx="24">
                  <c:v>159.5</c:v>
                </c:pt>
                <c:pt idx="25">
                  <c:v>159.80000000000001</c:v>
                </c:pt>
              </c:numCache>
            </c:numRef>
          </c:val>
          <c:smooth val="0"/>
          <c:extLst>
            <c:ext xmlns:c16="http://schemas.microsoft.com/office/drawing/2014/chart" uri="{C3380CC4-5D6E-409C-BE32-E72D297353CC}">
              <c16:uniqueId val="{00000006-57BA-46C8-8F55-B4D56967FE33}"/>
            </c:ext>
          </c:extLst>
        </c:ser>
        <c:ser>
          <c:idx val="7"/>
          <c:order val="7"/>
          <c:tx>
            <c:strRef>
              <c:f>Pivot!$I$124:$I$126</c:f>
              <c:strCache>
                <c:ptCount val="1"/>
                <c:pt idx="0">
                  <c:v>Urban - Sum of Recreation and amusement</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Pivot!$I$127:$I$156</c:f>
              <c:numCache>
                <c:formatCode>0.00</c:formatCode>
                <c:ptCount val="26"/>
                <c:pt idx="0">
                  <c:v>145.4</c:v>
                </c:pt>
                <c:pt idx="1">
                  <c:v>147.30000000000001</c:v>
                </c:pt>
                <c:pt idx="2">
                  <c:v>148.6</c:v>
                </c:pt>
                <c:pt idx="3">
                  <c:v>149.1</c:v>
                </c:pt>
                <c:pt idx="4">
                  <c:v>152.6</c:v>
                </c:pt>
                <c:pt idx="5">
                  <c:v>150.69999999999999</c:v>
                </c:pt>
                <c:pt idx="6">
                  <c:v>151.19999999999999</c:v>
                </c:pt>
                <c:pt idx="7">
                  <c:v>153.69999999999999</c:v>
                </c:pt>
                <c:pt idx="8">
                  <c:v>153.9</c:v>
                </c:pt>
                <c:pt idx="9">
                  <c:v>155.1</c:v>
                </c:pt>
                <c:pt idx="10">
                  <c:v>156.69999999999999</c:v>
                </c:pt>
                <c:pt idx="11">
                  <c:v>157.6</c:v>
                </c:pt>
                <c:pt idx="12">
                  <c:v>158.4</c:v>
                </c:pt>
                <c:pt idx="13">
                  <c:v>159.5</c:v>
                </c:pt>
                <c:pt idx="14">
                  <c:v>160.80000000000001</c:v>
                </c:pt>
                <c:pt idx="15">
                  <c:v>162.19999999999999</c:v>
                </c:pt>
                <c:pt idx="16">
                  <c:v>163.19999999999999</c:v>
                </c:pt>
                <c:pt idx="17">
                  <c:v>164.1</c:v>
                </c:pt>
                <c:pt idx="18">
                  <c:v>164.6</c:v>
                </c:pt>
                <c:pt idx="19">
                  <c:v>165.1</c:v>
                </c:pt>
                <c:pt idx="20">
                  <c:v>165.8</c:v>
                </c:pt>
                <c:pt idx="21">
                  <c:v>166.3</c:v>
                </c:pt>
                <c:pt idx="22">
                  <c:v>166.7</c:v>
                </c:pt>
                <c:pt idx="23">
                  <c:v>167.1</c:v>
                </c:pt>
                <c:pt idx="24">
                  <c:v>167.8</c:v>
                </c:pt>
                <c:pt idx="25">
                  <c:v>168.4</c:v>
                </c:pt>
              </c:numCache>
            </c:numRef>
          </c:val>
          <c:smooth val="0"/>
          <c:extLst>
            <c:ext xmlns:c16="http://schemas.microsoft.com/office/drawing/2014/chart" uri="{C3380CC4-5D6E-409C-BE32-E72D297353CC}">
              <c16:uniqueId val="{00000007-57BA-46C8-8F55-B4D56967FE33}"/>
            </c:ext>
          </c:extLst>
        </c:ser>
        <c:ser>
          <c:idx val="8"/>
          <c:order val="8"/>
          <c:tx>
            <c:strRef>
              <c:f>Pivot!$J$124:$J$126</c:f>
              <c:strCache>
                <c:ptCount val="1"/>
                <c:pt idx="0">
                  <c:v>Urban - Sum of Miscellaneous</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Pivot!$J$127:$J$156</c:f>
              <c:numCache>
                <c:formatCode>0.00</c:formatCode>
                <c:ptCount val="26"/>
                <c:pt idx="0">
                  <c:v>147.6</c:v>
                </c:pt>
                <c:pt idx="1">
                  <c:v>149.30000000000001</c:v>
                </c:pt>
                <c:pt idx="2">
                  <c:v>150</c:v>
                </c:pt>
                <c:pt idx="3">
                  <c:v>150.5</c:v>
                </c:pt>
                <c:pt idx="4">
                  <c:v>152.30000000000001</c:v>
                </c:pt>
                <c:pt idx="5">
                  <c:v>153.4</c:v>
                </c:pt>
                <c:pt idx="6">
                  <c:v>155</c:v>
                </c:pt>
                <c:pt idx="7">
                  <c:v>156</c:v>
                </c:pt>
                <c:pt idx="8">
                  <c:v>156</c:v>
                </c:pt>
                <c:pt idx="9">
                  <c:v>157</c:v>
                </c:pt>
                <c:pt idx="10">
                  <c:v>157.30000000000001</c:v>
                </c:pt>
                <c:pt idx="11">
                  <c:v>157.80000000000001</c:v>
                </c:pt>
                <c:pt idx="12">
                  <c:v>158.6</c:v>
                </c:pt>
                <c:pt idx="13">
                  <c:v>159.4</c:v>
                </c:pt>
                <c:pt idx="14">
                  <c:v>160.6</c:v>
                </c:pt>
                <c:pt idx="15">
                  <c:v>163.1</c:v>
                </c:pt>
                <c:pt idx="16">
                  <c:v>163.80000000000001</c:v>
                </c:pt>
                <c:pt idx="17">
                  <c:v>163.80000000000001</c:v>
                </c:pt>
                <c:pt idx="18">
                  <c:v>164.7</c:v>
                </c:pt>
                <c:pt idx="19">
                  <c:v>165.4</c:v>
                </c:pt>
                <c:pt idx="20">
                  <c:v>166.1</c:v>
                </c:pt>
                <c:pt idx="21">
                  <c:v>166.8</c:v>
                </c:pt>
                <c:pt idx="22">
                  <c:v>167.4</c:v>
                </c:pt>
                <c:pt idx="23">
                  <c:v>168.2</c:v>
                </c:pt>
                <c:pt idx="24">
                  <c:v>168.9</c:v>
                </c:pt>
                <c:pt idx="25">
                  <c:v>170</c:v>
                </c:pt>
              </c:numCache>
            </c:numRef>
          </c:val>
          <c:smooth val="0"/>
          <c:extLst>
            <c:ext xmlns:c16="http://schemas.microsoft.com/office/drawing/2014/chart" uri="{C3380CC4-5D6E-409C-BE32-E72D297353CC}">
              <c16:uniqueId val="{00000008-57BA-46C8-8F55-B4D56967FE33}"/>
            </c:ext>
          </c:extLst>
        </c:ser>
        <c:ser>
          <c:idx val="9"/>
          <c:order val="9"/>
          <c:tx>
            <c:strRef>
              <c:f>Pivot!$K$124:$K$126</c:f>
              <c:strCache>
                <c:ptCount val="1"/>
                <c:pt idx="0">
                  <c:v>Urban - Sum of Fuel and light</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multiLvlStrRef>
              <c:f>Pivot!$A$127:$A$156</c:f>
              <c:multiLvlStrCache>
                <c:ptCount val="2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lvl>
                <c:lvl>
                  <c:pt idx="0">
                    <c:v>2021</c:v>
                  </c:pt>
                  <c:pt idx="12">
                    <c:v>2022</c:v>
                  </c:pt>
                  <c:pt idx="24">
                    <c:v>2023</c:v>
                  </c:pt>
                </c:lvl>
              </c:multiLvlStrCache>
            </c:multiLvlStrRef>
          </c:cat>
          <c:val>
            <c:numRef>
              <c:f>Pivot!$K$127:$K$156</c:f>
              <c:numCache>
                <c:formatCode>0.00</c:formatCode>
                <c:ptCount val="26"/>
                <c:pt idx="0">
                  <c:v>142.9</c:v>
                </c:pt>
                <c:pt idx="1">
                  <c:v>149.1</c:v>
                </c:pt>
                <c:pt idx="2">
                  <c:v>154.80000000000001</c:v>
                </c:pt>
                <c:pt idx="3">
                  <c:v>154.9</c:v>
                </c:pt>
                <c:pt idx="4">
                  <c:v>155.5</c:v>
                </c:pt>
                <c:pt idx="5">
                  <c:v>156.1</c:v>
                </c:pt>
                <c:pt idx="6">
                  <c:v>157.69999999999999</c:v>
                </c:pt>
                <c:pt idx="7">
                  <c:v>160.69999999999999</c:v>
                </c:pt>
                <c:pt idx="8">
                  <c:v>160.80000000000001</c:v>
                </c:pt>
                <c:pt idx="9">
                  <c:v>162.19999999999999</c:v>
                </c:pt>
                <c:pt idx="10">
                  <c:v>161.6</c:v>
                </c:pt>
                <c:pt idx="11">
                  <c:v>161.69999999999999</c:v>
                </c:pt>
                <c:pt idx="12">
                  <c:v>161.6</c:v>
                </c:pt>
                <c:pt idx="13">
                  <c:v>163</c:v>
                </c:pt>
                <c:pt idx="14">
                  <c:v>164.5</c:v>
                </c:pt>
                <c:pt idx="15">
                  <c:v>170.5</c:v>
                </c:pt>
                <c:pt idx="16">
                  <c:v>173.5</c:v>
                </c:pt>
                <c:pt idx="17">
                  <c:v>174.9</c:v>
                </c:pt>
                <c:pt idx="18">
                  <c:v>179.5</c:v>
                </c:pt>
                <c:pt idx="19">
                  <c:v>178.4</c:v>
                </c:pt>
                <c:pt idx="20">
                  <c:v>179.2</c:v>
                </c:pt>
                <c:pt idx="21">
                  <c:v>180</c:v>
                </c:pt>
                <c:pt idx="22">
                  <c:v>180.3</c:v>
                </c:pt>
                <c:pt idx="23">
                  <c:v>180.6</c:v>
                </c:pt>
                <c:pt idx="24">
                  <c:v>180.1</c:v>
                </c:pt>
                <c:pt idx="25">
                  <c:v>182.8</c:v>
                </c:pt>
              </c:numCache>
            </c:numRef>
          </c:val>
          <c:smooth val="0"/>
          <c:extLst>
            <c:ext xmlns:c16="http://schemas.microsoft.com/office/drawing/2014/chart" uri="{C3380CC4-5D6E-409C-BE32-E72D297353CC}">
              <c16:uniqueId val="{00000009-57BA-46C8-8F55-B4D56967FE33}"/>
            </c:ext>
          </c:extLst>
        </c:ser>
        <c:dLbls>
          <c:showLegendKey val="0"/>
          <c:showVal val="0"/>
          <c:showCatName val="0"/>
          <c:showSerName val="0"/>
          <c:showPercent val="0"/>
          <c:showBubbleSize val="0"/>
        </c:dLbls>
        <c:marker val="1"/>
        <c:smooth val="0"/>
        <c:axId val="2058172575"/>
        <c:axId val="2058176895"/>
      </c:lineChart>
      <c:catAx>
        <c:axId val="2058172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8176895"/>
        <c:crosses val="autoZero"/>
        <c:auto val="1"/>
        <c:lblAlgn val="ctr"/>
        <c:lblOffset val="100"/>
        <c:noMultiLvlLbl val="0"/>
      </c:catAx>
      <c:valAx>
        <c:axId val="205817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817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86592</xdr:colOff>
      <xdr:row>2</xdr:row>
      <xdr:rowOff>161060</xdr:rowOff>
    </xdr:from>
    <xdr:to>
      <xdr:col>11</xdr:col>
      <xdr:colOff>491403</xdr:colOff>
      <xdr:row>24</xdr:row>
      <xdr:rowOff>32472</xdr:rowOff>
    </xdr:to>
    <xdr:graphicFrame macro="">
      <xdr:nvGraphicFramePr>
        <xdr:cNvPr id="2" name="Chart 1">
          <a:extLst>
            <a:ext uri="{FF2B5EF4-FFF2-40B4-BE49-F238E27FC236}">
              <a16:creationId xmlns:a16="http://schemas.microsoft.com/office/drawing/2014/main" id="{E5E568B8-E556-4A86-A057-02B91F726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84426</xdr:colOff>
      <xdr:row>24</xdr:row>
      <xdr:rowOff>115298</xdr:rowOff>
    </xdr:from>
    <xdr:to>
      <xdr:col>11</xdr:col>
      <xdr:colOff>519545</xdr:colOff>
      <xdr:row>47</xdr:row>
      <xdr:rowOff>115297</xdr:rowOff>
    </xdr:to>
    <xdr:graphicFrame macro="">
      <xdr:nvGraphicFramePr>
        <xdr:cNvPr id="3" name="Chart 2">
          <a:extLst>
            <a:ext uri="{FF2B5EF4-FFF2-40B4-BE49-F238E27FC236}">
              <a16:creationId xmlns:a16="http://schemas.microsoft.com/office/drawing/2014/main" id="{38D07FC5-4C6E-45D8-A363-F9D6F84E0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126373</xdr:colOff>
      <xdr:row>48</xdr:row>
      <xdr:rowOff>145571</xdr:rowOff>
    </xdr:from>
    <xdr:to>
      <xdr:col>11</xdr:col>
      <xdr:colOff>533349</xdr:colOff>
      <xdr:row>76</xdr:row>
      <xdr:rowOff>97947</xdr:rowOff>
    </xdr:to>
    <xdr:graphicFrame macro="">
      <xdr:nvGraphicFramePr>
        <xdr:cNvPr id="4" name="Chart 3">
          <a:extLst>
            <a:ext uri="{FF2B5EF4-FFF2-40B4-BE49-F238E27FC236}">
              <a16:creationId xmlns:a16="http://schemas.microsoft.com/office/drawing/2014/main" id="{D476859E-48F2-4673-8659-247801BB9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536613</xdr:colOff>
      <xdr:row>2</xdr:row>
      <xdr:rowOff>173182</xdr:rowOff>
    </xdr:from>
    <xdr:to>
      <xdr:col>28</xdr:col>
      <xdr:colOff>33130</xdr:colOff>
      <xdr:row>24</xdr:row>
      <xdr:rowOff>1</xdr:rowOff>
    </xdr:to>
    <xdr:graphicFrame macro="">
      <xdr:nvGraphicFramePr>
        <xdr:cNvPr id="5" name="Chart 4">
          <a:extLst>
            <a:ext uri="{FF2B5EF4-FFF2-40B4-BE49-F238E27FC236}">
              <a16:creationId xmlns:a16="http://schemas.microsoft.com/office/drawing/2014/main" id="{612172C7-D06A-4F8F-9E52-7D444583B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581343</xdr:colOff>
      <xdr:row>24</xdr:row>
      <xdr:rowOff>74132</xdr:rowOff>
    </xdr:from>
    <xdr:to>
      <xdr:col>28</xdr:col>
      <xdr:colOff>13804</xdr:colOff>
      <xdr:row>76</xdr:row>
      <xdr:rowOff>93618</xdr:rowOff>
    </xdr:to>
    <xdr:graphicFrame macro="">
      <xdr:nvGraphicFramePr>
        <xdr:cNvPr id="6" name="Chart 5">
          <a:extLst>
            <a:ext uri="{FF2B5EF4-FFF2-40B4-BE49-F238E27FC236}">
              <a16:creationId xmlns:a16="http://schemas.microsoft.com/office/drawing/2014/main" id="{1E4B4984-CEBE-48F3-9F11-E3B65F10B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267554</xdr:colOff>
      <xdr:row>3</xdr:row>
      <xdr:rowOff>4015</xdr:rowOff>
    </xdr:from>
    <xdr:to>
      <xdr:col>54</xdr:col>
      <xdr:colOff>336827</xdr:colOff>
      <xdr:row>24</xdr:row>
      <xdr:rowOff>76049</xdr:rowOff>
    </xdr:to>
    <xdr:graphicFrame macro="">
      <xdr:nvGraphicFramePr>
        <xdr:cNvPr id="7" name="Chart 6">
          <a:extLst>
            <a:ext uri="{FF2B5EF4-FFF2-40B4-BE49-F238E27FC236}">
              <a16:creationId xmlns:a16="http://schemas.microsoft.com/office/drawing/2014/main" id="{AF58F07F-EB51-4EE4-91A3-1165B9FBE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236430</xdr:colOff>
      <xdr:row>25</xdr:row>
      <xdr:rowOff>76303</xdr:rowOff>
    </xdr:from>
    <xdr:to>
      <xdr:col>54</xdr:col>
      <xdr:colOff>288385</xdr:colOff>
      <xdr:row>46</xdr:row>
      <xdr:rowOff>182972</xdr:rowOff>
    </xdr:to>
    <xdr:graphicFrame macro="">
      <xdr:nvGraphicFramePr>
        <xdr:cNvPr id="8" name="Chart 7">
          <a:extLst>
            <a:ext uri="{FF2B5EF4-FFF2-40B4-BE49-F238E27FC236}">
              <a16:creationId xmlns:a16="http://schemas.microsoft.com/office/drawing/2014/main" id="{BDDD9A88-D3A5-484A-B5A0-347F243CD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39</xdr:col>
      <xdr:colOff>458469</xdr:colOff>
      <xdr:row>3</xdr:row>
      <xdr:rowOff>24845</xdr:rowOff>
    </xdr:from>
    <xdr:to>
      <xdr:col>43</xdr:col>
      <xdr:colOff>218613</xdr:colOff>
      <xdr:row>12</xdr:row>
      <xdr:rowOff>79560</xdr:rowOff>
    </xdr:to>
    <mc:AlternateContent xmlns:mc="http://schemas.openxmlformats.org/markup-compatibility/2006" xmlns:a14="http://schemas.microsoft.com/office/drawing/2010/main">
      <mc:Choice Requires="a14">
        <xdr:graphicFrame macro="">
          <xdr:nvGraphicFramePr>
            <xdr:cNvPr id="10" name="Sector">
              <a:extLst>
                <a:ext uri="{FF2B5EF4-FFF2-40B4-BE49-F238E27FC236}">
                  <a16:creationId xmlns:a16="http://schemas.microsoft.com/office/drawing/2014/main" id="{D3A14548-AA8D-09F1-D67A-8C5BE6CBE2B0}"/>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4146730" y="604628"/>
              <a:ext cx="2189709" cy="1794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83829</xdr:colOff>
      <xdr:row>3</xdr:row>
      <xdr:rowOff>0</xdr:rowOff>
    </xdr:from>
    <xdr:to>
      <xdr:col>39</xdr:col>
      <xdr:colOff>414130</xdr:colOff>
      <xdr:row>23</xdr:row>
      <xdr:rowOff>151849</xdr:rowOff>
    </xdr:to>
    <xdr:graphicFrame macro="">
      <xdr:nvGraphicFramePr>
        <xdr:cNvPr id="14" name="Chart 13">
          <a:extLst>
            <a:ext uri="{FF2B5EF4-FFF2-40B4-BE49-F238E27FC236}">
              <a16:creationId xmlns:a16="http://schemas.microsoft.com/office/drawing/2014/main" id="{2D504949-BA9C-4E5D-9D2D-BC2988E40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97635</xdr:colOff>
      <xdr:row>24</xdr:row>
      <xdr:rowOff>48440</xdr:rowOff>
    </xdr:from>
    <xdr:to>
      <xdr:col>39</xdr:col>
      <xdr:colOff>469349</xdr:colOff>
      <xdr:row>76</xdr:row>
      <xdr:rowOff>138043</xdr:rowOff>
    </xdr:to>
    <xdr:graphicFrame macro="">
      <xdr:nvGraphicFramePr>
        <xdr:cNvPr id="15" name="Chart 14">
          <a:extLst>
            <a:ext uri="{FF2B5EF4-FFF2-40B4-BE49-F238E27FC236}">
              <a16:creationId xmlns:a16="http://schemas.microsoft.com/office/drawing/2014/main" id="{19D1575C-F33C-48B0-9C2D-4F7C4B56E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54</xdr:col>
      <xdr:colOff>418900</xdr:colOff>
      <xdr:row>2</xdr:row>
      <xdr:rowOff>165652</xdr:rowOff>
    </xdr:from>
    <xdr:to>
      <xdr:col>67</xdr:col>
      <xdr:colOff>107173</xdr:colOff>
      <xdr:row>45</xdr:row>
      <xdr:rowOff>193260</xdr:rowOff>
    </xdr:to>
    <xdr:graphicFrame macro="">
      <xdr:nvGraphicFramePr>
        <xdr:cNvPr id="16" name="Chart 15">
          <a:extLst>
            <a:ext uri="{FF2B5EF4-FFF2-40B4-BE49-F238E27FC236}">
              <a16:creationId xmlns:a16="http://schemas.microsoft.com/office/drawing/2014/main" id="{0005BA22-2460-4927-B56A-71F00A083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67</xdr:col>
      <xdr:colOff>248805</xdr:colOff>
      <xdr:row>3</xdr:row>
      <xdr:rowOff>52355</xdr:rowOff>
    </xdr:from>
    <xdr:to>
      <xdr:col>72</xdr:col>
      <xdr:colOff>515027</xdr:colOff>
      <xdr:row>17</xdr:row>
      <xdr:rowOff>52355</xdr:rowOff>
    </xdr:to>
    <mc:AlternateContent xmlns:mc="http://schemas.openxmlformats.org/markup-compatibility/2006" xmlns:a14="http://schemas.microsoft.com/office/drawing/2010/main">
      <mc:Choice Requires="a14">
        <xdr:graphicFrame macro="">
          <xdr:nvGraphicFramePr>
            <xdr:cNvPr id="17" name="Sector 1">
              <a:extLst>
                <a:ext uri="{FF2B5EF4-FFF2-40B4-BE49-F238E27FC236}">
                  <a16:creationId xmlns:a16="http://schemas.microsoft.com/office/drawing/2014/main" id="{BCBF894C-0869-F6C9-B1F2-8E12F77FD0DE}"/>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40944022" y="632138"/>
              <a:ext cx="3303179" cy="2705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5918.869957175928" createdVersion="8" refreshedVersion="8" minRefreshableVersion="3" recordCount="372" xr:uid="{83B5141F-162F-4E3A-9527-1B6A2A1540C8}">
  <cacheSource type="worksheet">
    <worksheetSource name="All_India_Index_Upto_April23_CPI_data"/>
  </cacheSource>
  <cacheFields count="3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s v="December"/>
        <s v="November " u="1"/>
      </sharedItems>
    </cacheField>
    <cacheField name="Cereals and products" numFmtId="2">
      <sharedItems containsSemiMixedTypes="0" containsString="0" containsNumber="1" minValue="108.2" maxValue="174.8"/>
    </cacheField>
    <cacheField name="Meat and fish" numFmtId="2">
      <sharedItems containsSemiMixedTypes="0" containsString="0" containsNumber="1" minValue="106.3" maxValue="223.4"/>
    </cacheField>
    <cacheField name="Egg" numFmtId="2">
      <sharedItems containsSemiMixedTypes="0" containsString="0" containsNumber="1" minValue="102.7" maxValue="197"/>
    </cacheField>
    <cacheField name="Milk and products" numFmtId="2">
      <sharedItems containsSemiMixedTypes="0" containsString="0" containsNumber="1" minValue="103.6" maxValue="179.6"/>
    </cacheField>
    <cacheField name="Oils and fats" numFmtId="2">
      <sharedItems containsSemiMixedTypes="0" containsString="0" containsNumber="1" minValue="101.1" maxValue="209.9"/>
    </cacheField>
    <cacheField name="Fruits" numFmtId="2">
      <sharedItems containsSemiMixedTypes="0" containsString="0" containsNumber="1" minValue="102.3" maxValue="179.5"/>
    </cacheField>
    <cacheField name="Vegetables" numFmtId="2">
      <sharedItems containsSemiMixedTypes="0" containsString="0" containsNumber="1" minValue="101.4" maxValue="245.3"/>
    </cacheField>
    <cacheField name="Pulses and products" numFmtId="2">
      <sharedItems containsSemiMixedTypes="0" containsString="0" containsNumber="1" minValue="103.5" maxValue="191.6"/>
    </cacheField>
    <cacheField name="Sugar and Confectionery" numFmtId="2">
      <sharedItems containsSemiMixedTypes="0" containsString="0" containsNumber="1" minValue="85.3" maxValue="124.2"/>
    </cacheField>
    <cacheField name="Spices" numFmtId="2">
      <sharedItems containsSemiMixedTypes="0" containsString="0" containsNumber="1" minValue="101.8" maxValue="221"/>
    </cacheField>
    <cacheField name="Non-alcoholic beverages" numFmtId="2">
      <sharedItems containsSemiMixedTypes="0" containsString="0" containsNumber="1" minValue="104.8" maxValue="178.7"/>
    </cacheField>
    <cacheField name="Prepared meals, snacks, sweets etc." numFmtId="2">
      <sharedItems containsSemiMixedTypes="0" containsString="0" containsNumber="1" minValue="106.7" maxValue="197.7"/>
    </cacheField>
    <cacheField name="Food and beverages" numFmtId="2">
      <sharedItems containsSemiMixedTypes="0" containsString="0" containsNumber="1" minValue="105.5" maxValue="183.3"/>
    </cacheField>
    <cacheField name="Pan, tobacco and intoxicants" numFmtId="2">
      <sharedItems containsSemiMixedTypes="0" containsString="0" containsNumber="1" minValue="105.1" maxValue="204.2"/>
    </cacheField>
    <cacheField name="Clothing" numFmtId="2">
      <sharedItems containsSemiMixedTypes="0" containsString="0" containsNumber="1" minValue="105.9" maxValue="191.2"/>
    </cacheField>
    <cacheField name="Footwear" numFmtId="2">
      <sharedItems containsSemiMixedTypes="0" containsString="0" containsNumber="1" minValue="105" maxValue="187.9"/>
    </cacheField>
    <cacheField name="Clothing and footwear" numFmtId="2">
      <sharedItems containsSemiMixedTypes="0" containsString="0" containsNumber="1" minValue="105.8" maxValue="190.8"/>
    </cacheField>
    <cacheField name="Housing" numFmtId="2">
      <sharedItems containsSemiMixedTypes="0" containsString="0" containsNumber="1" minValue="0" maxValue="175.6"/>
    </cacheField>
    <cacheField name="Fuel and light" numFmtId="2">
      <sharedItems containsSemiMixedTypes="0" containsString="0" containsNumber="1" minValue="105.4" maxValue="183.4"/>
    </cacheField>
    <cacheField name="Household goods and services" numFmtId="2">
      <sharedItems containsSemiMixedTypes="0" containsString="0" containsNumber="1" minValue="104.8" maxValue="179.8"/>
    </cacheField>
    <cacheField name="Health" numFmtId="2">
      <sharedItems containsSemiMixedTypes="0" containsString="0" containsNumber="1" minValue="104" maxValue="187.8"/>
    </cacheField>
    <cacheField name="Transport and communication" numFmtId="2">
      <sharedItems containsSemiMixedTypes="0" containsString="0" containsNumber="1" minValue="103.2" maxValue="169.7"/>
    </cacheField>
    <cacheField name="Recreation and amusement" numFmtId="2">
      <sharedItems containsSemiMixedTypes="0" containsString="0" containsNumber="1" minValue="102.9" maxValue="173.8"/>
    </cacheField>
    <cacheField name="Education" numFmtId="2">
      <sharedItems containsSemiMixedTypes="0" containsString="0" containsNumber="1" minValue="103.5" maxValue="180.3"/>
    </cacheField>
    <cacheField name="Personal care and effects" numFmtId="2">
      <sharedItems containsSemiMixedTypes="0" containsString="0" containsNumber="1" minValue="102.1" maxValue="185.6"/>
    </cacheField>
    <cacheField name="Miscellaneous" numFmtId="2">
      <sharedItems containsSemiMixedTypes="0" containsString="0" containsNumber="1" minValue="103.7" maxValue="179.5"/>
    </cacheField>
    <cacheField name="Food Bucket" numFmtId="2">
      <sharedItems containsSemiMixedTypes="0" containsString="0" containsNumber="1" minValue="105.56923076923076" maxValue="179.62307692307692"/>
    </cacheField>
    <cacheField name="Recreation Bucket" numFmtId="2">
      <sharedItems containsSemiMixedTypes="0" containsString="0" containsNumber="1" minValue="104.05000000000001" maxValue="186.85000000000002"/>
    </cacheField>
    <cacheField name="Housing bucket" numFmtId="2">
      <sharedItems containsSemiMixedTypes="0" containsString="0" containsNumber="1" minValue="52.4" maxValue="175.39999999999998"/>
    </cacheField>
    <cacheField name="Health bucket" numFmtId="2">
      <sharedItems containsSemiMixedTypes="0" containsString="0" containsNumber="1" minValue="103.9" maxValue="186.35000000000002"/>
    </cacheField>
    <cacheField name="clothing bucket" numFmtId="2">
      <sharedItems containsSemiMixedTypes="0" containsString="0" containsNumber="1" minValue="105.56666666666666" maxValue="189.9666666666667"/>
    </cacheField>
    <cacheField name="General index" numFmtId="2">
      <sharedItems containsSemiMixedTypes="0" containsString="0" containsNumber="1" minValue="104" maxValue="179.8"/>
    </cacheField>
    <cacheField name="MoM %" numFmtId="9">
      <sharedItems containsSemiMixedTypes="0" containsString="0" containsNumber="1" minValue="-6.8357810413885237E-2" maxValue="9.41530524505588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5918.869957986113" createdVersion="8" refreshedVersion="8" minRefreshableVersion="3" recordCount="39" xr:uid="{3A40068D-CA75-4ACE-99C7-E334FDF6F8A2}">
  <cacheSource type="worksheet">
    <worksheetSource ref="AQ1:BI40" sheet="All_India_Index_Upto_April23-CP"/>
  </cacheSource>
  <cacheFields count="19">
    <cacheField name="Sector" numFmtId="0">
      <sharedItems count="3">
        <s v="Rural"/>
        <s v="Urban"/>
        <s v="Rural+Urban"/>
      </sharedItems>
    </cacheField>
    <cacheField name="Year" numFmtId="0">
      <sharedItems containsSemiMixedTypes="0" containsString="0" containsNumber="1" containsInteger="1" minValue="2022" maxValue="2023" count="2">
        <n v="2022"/>
        <n v="2023"/>
      </sharedItems>
    </cacheField>
    <cacheField name="Month" numFmtId="0">
      <sharedItems count="12">
        <s v="May"/>
        <s v="June"/>
        <s v="July"/>
        <s v="August"/>
        <s v="September"/>
        <s v="October"/>
        <s v="November"/>
        <s v="December"/>
        <s v="January"/>
        <s v="February"/>
        <s v="March"/>
        <s v="April"/>
      </sharedItems>
    </cacheField>
    <cacheField name="Cereals and products" numFmtId="2">
      <sharedItems containsSemiMixedTypes="0" containsString="0" containsNumber="1" minValue="152.9" maxValue="174.8"/>
    </cacheField>
    <cacheField name="Meat and fish" numFmtId="2">
      <sharedItems containsSemiMixedTypes="0" containsString="0" containsNumber="1" minValue="204.1" maxValue="223.4"/>
    </cacheField>
    <cacheField name="Egg" numFmtId="2">
      <sharedItems containsSemiMixedTypes="0" containsString="0" containsNumber="1" minValue="161.4" maxValue="197"/>
    </cacheField>
    <cacheField name="Milk and products" numFmtId="2">
      <sharedItems containsSemiMixedTypes="0" containsString="0" containsNumber="1" minValue="164.6" maxValue="179.6"/>
    </cacheField>
    <cacheField name="Oils and fats" numFmtId="2">
      <sharedItems containsSemiMixedTypes="0" containsString="0" containsNumber="1" minValue="164.4" maxValue="209.9"/>
    </cacheField>
    <cacheField name="Fruits" numFmtId="2">
      <sharedItems containsSemiMixedTypes="0" containsString="0" containsNumber="1" minValue="156.30000000000001" maxValue="179.5"/>
    </cacheField>
    <cacheField name="Vegetables" numFmtId="2">
      <sharedItems containsSemiMixedTypes="0" containsString="0" containsNumber="1" minValue="140.9" maxValue="228.6"/>
    </cacheField>
    <cacheField name="Pulses and products" numFmtId="2">
      <sharedItems containsSemiMixedTypes="0" containsString="0" containsNumber="1" minValue="163.6" maxValue="176.9"/>
    </cacheField>
    <cacheField name="Sugar and Confectionery" numFmtId="2">
      <sharedItems containsSemiMixedTypes="0" containsString="0" containsNumber="1" minValue="118.9" maxValue="124.2"/>
    </cacheField>
    <cacheField name="Spices" numFmtId="2">
      <sharedItems containsSemiMixedTypes="0" containsString="0" containsNumber="1" minValue="181.4" maxValue="221"/>
    </cacheField>
    <cacheField name="Non-alcoholic beverages" numFmtId="2">
      <sharedItems containsSemiMixedTypes="0" containsString="0" containsNumber="1" minValue="158.5" maxValue="178.7"/>
    </cacheField>
    <cacheField name="Prepared meals, snacks, sweets etc." numFmtId="2">
      <sharedItems containsSemiMixedTypes="0" containsString="0" containsNumber="1" minValue="180.4" maxValue="197.7"/>
    </cacheField>
    <cacheField name="Food and beverages" numFmtId="2">
      <sharedItems containsSemiMixedTypes="0" containsString="0" containsNumber="1" minValue="170.8" maxValue="183.3"/>
    </cacheField>
    <cacheField name="Food Bucket" numFmtId="2">
      <sharedItems containsSemiMixedTypes="0" containsString="0" containsNumber="1" minValue="171.2923076923077" maxValue="179.62307692307692"/>
    </cacheField>
    <cacheField name="FOOD MOM" numFmtId="2">
      <sharedItems containsSemiMixedTypes="0" containsString="0" containsNumber="1" minValue="-1.4307692307692719" maxValue="1.9461538461538055"/>
    </cacheField>
    <cacheField name="ABSOLUTE CHANGE %" numFmtId="9">
      <sharedItems containsSemiMixedTypes="0" containsString="0" containsNumber="1" minValue="-8.0366401659179628E-3" maxValue="1.1183803377243156E-2"/>
    </cacheField>
  </cacheFields>
  <extLst>
    <ext xmlns:x14="http://schemas.microsoft.com/office/spreadsheetml/2009/9/main" uri="{725AE2AE-9491-48be-B2B4-4EB974FC3084}">
      <x14:pivotCacheDefinition pivotCacheId="1776084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5918.869958333336" createdVersion="8" refreshedVersion="8" minRefreshableVersion="3" recordCount="78" xr:uid="{AE0FCD95-7BE2-4432-892B-11345D814501}">
  <cacheSource type="worksheet">
    <worksheetSource ref="BO1:CZ79" sheet="All_India_Index_Upto_April23-CP"/>
  </cacheSource>
  <cacheFields count="41">
    <cacheField name="Sector" numFmtId="0">
      <sharedItems count="3">
        <s v="Rural"/>
        <s v="Urban"/>
        <s v="Rural+Urban"/>
      </sharedItems>
    </cacheField>
    <cacheField name="Year" numFmtId="0">
      <sharedItems containsSemiMixedTypes="0" containsString="0" containsNumber="1" containsInteger="1" minValue="2021" maxValue="2023" count="3">
        <n v="2021"/>
        <n v="2022"/>
        <n v="2023"/>
      </sharedItems>
    </cacheField>
    <cacheField name="Month" numFmtId="0">
      <sharedItems count="12">
        <s v="January"/>
        <s v="February"/>
        <s v="March"/>
        <s v="April"/>
        <s v="May"/>
        <s v="June"/>
        <s v="July"/>
        <s v="August"/>
        <s v="September"/>
        <s v="October"/>
        <s v="November"/>
        <s v="December"/>
      </sharedItems>
    </cacheField>
    <cacheField name="Month-Year" numFmtId="14">
      <sharedItems containsSemiMixedTypes="0" containsNonDate="0" containsDate="1" containsString="0" minDate="2021-01-01T00:00:00" maxDate="2023-02-02T00:00:00" count="26">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sharedItems>
      <fieldGroup par="40"/>
    </cacheField>
    <cacheField name="Cereals and products" numFmtId="2">
      <sharedItems containsSemiMixedTypes="0" containsString="0" containsNumber="1" minValue="142.5" maxValue="174.7"/>
    </cacheField>
    <cacheField name="Meat and fish" numFmtId="2">
      <sharedItems containsSemiMixedTypes="0" containsString="0" containsNumber="1" minValue="184" maxValue="223.4"/>
    </cacheField>
    <cacheField name="Egg" numFmtId="2">
      <sharedItems containsSemiMixedTypes="0" containsString="0" containsNumber="1" minValue="161.4" maxValue="197"/>
    </cacheField>
    <cacheField name="Milk and products" numFmtId="2">
      <sharedItems containsSemiMixedTypes="0" containsString="0" containsNumber="1" minValue="154" maxValue="177.9"/>
    </cacheField>
    <cacheField name="Oils and fats" numFmtId="2">
      <sharedItems containsSemiMixedTypes="0" containsString="0" containsNumber="1" minValue="144.1" maxValue="209.9"/>
    </cacheField>
    <cacheField name="Fruits" numFmtId="2">
      <sharedItems containsSemiMixedTypes="0" containsString="0" containsNumber="1" minValue="147" maxValue="179.5"/>
    </cacheField>
    <cacheField name="Vegetables" numFmtId="2">
      <sharedItems containsSemiMixedTypes="0" containsString="0" containsNumber="1" minValue="135.1" maxValue="229.1"/>
    </cacheField>
    <cacheField name="Pulses and products" numFmtId="2">
      <sharedItems containsSemiMixedTypes="0" containsString="0" containsNumber="1" minValue="158.30000000000001" maxValue="172.2"/>
    </cacheField>
    <cacheField name="Sugar and Confectionery" numFmtId="2">
      <sharedItems containsSemiMixedTypes="0" containsString="0" containsNumber="1" minValue="111.7" maxValue="123.4"/>
    </cacheField>
    <cacheField name="Spices" numFmtId="2">
      <sharedItems containsSemiMixedTypes="0" containsString="0" containsNumber="1" minValue="162.5" maxValue="212.1"/>
    </cacheField>
    <cacheField name="Non-alcoholic beverages" numFmtId="2">
      <sharedItems containsSemiMixedTypes="0" containsString="0" containsNumber="1" minValue="145.9" maxValue="177.6"/>
    </cacheField>
    <cacheField name="Prepared meals, snacks, sweets etc." numFmtId="2">
      <sharedItems containsSemiMixedTypes="0" containsString="0" containsNumber="1" minValue="164.3" maxValue="196.6"/>
    </cacheField>
    <cacheField name="Food and beverages" numFmtId="2">
      <sharedItems containsSemiMixedTypes="0" containsString="0" containsNumber="1" minValue="154.5" maxValue="183.3"/>
    </cacheField>
    <cacheField name="Pan, tobacco and intoxicants" numFmtId="2">
      <sharedItems containsSemiMixedTypes="0" containsString="0" containsNumber="1" minValue="184.6" maxValue="202.7"/>
    </cacheField>
    <cacheField name="Clothing" numFmtId="2">
      <sharedItems containsSemiMixedTypes="0" containsString="0" containsNumber="1" minValue="152.5" maxValue="190"/>
    </cacheField>
    <cacheField name="Footwear" numFmtId="2">
      <sharedItems containsSemiMixedTypes="0" containsString="0" containsNumber="1" minValue="137.30000000000001" maxValue="187"/>
    </cacheField>
    <cacheField name="Clothing and footwear" numFmtId="2">
      <sharedItems containsSemiMixedTypes="0" containsString="0" containsNumber="1" minValue="150.19999999999999" maxValue="189.6"/>
    </cacheField>
    <cacheField name="Housing" numFmtId="2">
      <sharedItems containsSemiMixedTypes="0" containsString="0" containsNumber="1" minValue="0" maxValue="173.5"/>
    </cacheField>
    <cacheField name="Fuel and light" numFmtId="2">
      <sharedItems containsSemiMixedTypes="0" containsString="0" containsNumber="1" minValue="142.9" maxValue="183.2"/>
    </cacheField>
    <cacheField name="Household goods and services" numFmtId="2">
      <sharedItems containsSemiMixedTypes="0" containsString="0" containsNumber="1" minValue="145.69999999999999" maxValue="178.6"/>
    </cacheField>
    <cacheField name="Health" numFmtId="2">
      <sharedItems containsSemiMixedTypes="0" containsString="0" containsNumber="1" minValue="154.1" maxValue="186.6"/>
    </cacheField>
    <cacheField name="Transport and communication" numFmtId="2">
      <sharedItems containsSemiMixedTypes="0" containsString="0" containsNumber="1" minValue="136.9" maxValue="169"/>
    </cacheField>
    <cacheField name="Recreation and amusement" numFmtId="2">
      <sharedItems containsSemiMixedTypes="0" containsString="0" containsNumber="1" minValue="145.4" maxValue="172.8"/>
    </cacheField>
    <cacheField name="Education" numFmtId="2">
      <sharedItems containsSemiMixedTypes="0" containsString="0" containsNumber="1" minValue="156.1" maxValue="178.5"/>
    </cacheField>
    <cacheField name="Personal care and effects" numFmtId="2">
      <sharedItems containsSemiMixedTypes="0" containsString="0" containsNumber="1" minValue="153.1" maxValue="181.4"/>
    </cacheField>
    <cacheField name="Miscellaneous" numFmtId="2">
      <sharedItems containsSemiMixedTypes="0" containsString="0" containsNumber="1" minValue="147.6" maxValue="177.9"/>
    </cacheField>
    <cacheField name="Food Bucket" numFmtId="2">
      <sharedItems containsSemiMixedTypes="0" containsString="0" containsNumber="1" minValue="155.7923076923077" maxValue="178.63846153846154"/>
    </cacheField>
    <cacheField name="Recreation Bucket" numFmtId="2">
      <sharedItems containsSemiMixedTypes="0" containsString="0" containsNumber="1" minValue="168.05" maxValue="185.55"/>
    </cacheField>
    <cacheField name="Housing bucket" numFmtId="2">
      <sharedItems containsSemiMixedTypes="0" containsString="0" containsNumber="1" minValue="76.95" maxValue="173.85"/>
    </cacheField>
    <cacheField name="Health bucket" numFmtId="2">
      <sharedItems containsSemiMixedTypes="0" containsString="0" containsNumber="1" minValue="155.89999999999998" maxValue="183.64999999999998"/>
    </cacheField>
    <cacheField name="clothing bucket" numFmtId="2">
      <sharedItems containsSemiMixedTypes="0" containsString="0" containsNumber="1" minValue="146.66666666666666" maxValue="188.86666666666667"/>
    </cacheField>
    <cacheField name="General index" numFmtId="2">
      <sharedItems containsSemiMixedTypes="0" containsString="0" containsNumber="1" minValue="156" maxValue="178"/>
    </cacheField>
    <cacheField name="MoM %" numFmtId="9">
      <sharedItems containsSemiMixedTypes="0" containsString="0" containsNumber="1" minValue="-1.3690105787181012E-2" maxValue="2.2208121827411168E-2" count="74">
        <n v="-1.3690105787181012E-2"/>
        <n v="-5.7361376673040511E-3"/>
        <n v="-1.006922592825673E-2"/>
        <n v="-1.135646687697168E-2"/>
        <n v="3.205128205128205E-3"/>
        <n v="-4.4500953591863762E-3"/>
        <n v="0"/>
        <n v="2.5559105431310269E-3"/>
        <n v="1.2771392081737999E-3"/>
        <n v="5.7434588385450267E-3"/>
        <n v="7.0108349267048713E-3"/>
        <n v="6.3775510204081625E-3"/>
        <n v="2.2208121827411168E-2"/>
        <n v="9.4936708860759497E-3"/>
        <n v="1.6476552598225565E-2"/>
        <n v="6.2073246430788334E-3"/>
        <n v="5.6426332288401614E-3"/>
        <n v="5.6109725685785893E-3"/>
        <n v="6.7859346082664671E-3"/>
        <n v="8.7281795511222303E-3"/>
        <n v="7.439553626782322E-3"/>
        <n v="2.4509803921568978E-3"/>
        <n v="3.0902348578491965E-3"/>
        <n v="4.3076923076922381E-3"/>
        <n v="2.4449877750611594E-3"/>
        <n v="1.4024390243902509E-2"/>
        <n v="1.4171287738755286E-2"/>
        <n v="1.4093137254902032E-2"/>
        <n v="7.8171978352374188E-3"/>
        <n v="6.0753341433778859E-3"/>
        <n v="7.2507552870089949E-3"/>
        <n v="-3.579952267303069E-3"/>
        <n v="-2.4154589371981022E-3"/>
        <n v="-2.999400119976005E-3"/>
        <n v="-3.5928143712574512E-3"/>
        <n v="-1.2106537530265657E-3"/>
        <n v="-3.0084235860409147E-3"/>
        <n v="1.8028846153845129E-3"/>
        <n v="3.0303030303030303E-3"/>
        <n v="2.4140012070006378E-3"/>
        <n v="1.199760047990402E-2"/>
        <n v="6.0422960725075529E-3"/>
        <n v="9.6327513546056245E-3"/>
        <n v="1.2448132780083124E-2"/>
        <n v="1.6216216216216148E-2"/>
        <n v="1.4311270125223648E-2"/>
        <n v="9.9531615925057878E-3"/>
        <n v="9.4562647754138467E-3"/>
        <n v="9.4062316284538178E-3"/>
        <n v="6.3768115942028653E-3"/>
        <n v="3.5128805620608565E-3"/>
        <n v="5.2417006406523343E-3"/>
        <n v="4.0322580645162278E-3"/>
        <n v="5.2508751458576761E-3"/>
        <n v="4.634994206257308E-3"/>
        <n v="5.737234652897303E-3"/>
        <n v="4.6430644225187636E-3"/>
        <n v="5.1903114186851538E-3"/>
        <n v="6.2749572162007659E-3"/>
        <n v="5.7770075101097633E-3"/>
        <n v="8.5034013605442167E-3"/>
        <n v="6.8925904652499545E-3"/>
        <n v="7.9863091842554308E-3"/>
        <n v="-5.6211354693644919E-4"/>
        <n v="-6.8454078722191497E-3"/>
        <n v="-1.1318619128465684E-3"/>
        <n v="-3.9370078740158434E-3"/>
        <n v="-4.5325779036827843E-3"/>
        <n v="3.9525691699605703E-3"/>
        <n v="4.5950603101666361E-3"/>
        <n v="4.5532157085942599E-3"/>
        <n v="1.1248593925758639E-3"/>
        <n v="8.0045740423099233E-3"/>
        <n v="3.9660056657223148E-3"/>
      </sharedItems>
    </cacheField>
    <cacheField name="Oil Price" numFmtId="0">
      <sharedItems containsSemiMixedTypes="0" containsString="0" containsNumber="1" minValue="54.79" maxValue="116.01"/>
    </cacheField>
    <cacheField name="Months (Month-Year)" numFmtId="0" databaseField="0">
      <fieldGroup base="3">
        <rangePr groupBy="months" startDate="2021-01-01T00:00:00" endDate="2023-02-02T00:00:00"/>
        <groupItems count="14">
          <s v="&lt;01-01-2021"/>
          <s v="Jan"/>
          <s v="Feb"/>
          <s v="Mar"/>
          <s v="Apr"/>
          <s v="May"/>
          <s v="Jun"/>
          <s v="Jul"/>
          <s v="Aug"/>
          <s v="Sep"/>
          <s v="Oct"/>
          <s v="Nov"/>
          <s v="Dec"/>
          <s v="&gt;02-02-2023"/>
        </groupItems>
      </fieldGroup>
    </cacheField>
    <cacheField name="Quarters (Month-Year)" numFmtId="0" databaseField="0">
      <fieldGroup base="3">
        <rangePr groupBy="quarters" startDate="2021-01-01T00:00:00" endDate="2023-02-02T00:00:00"/>
        <groupItems count="6">
          <s v="&lt;01-01-2021"/>
          <s v="Qtr1"/>
          <s v="Qtr2"/>
          <s v="Qtr3"/>
          <s v="Qtr4"/>
          <s v="&gt;02-02-2023"/>
        </groupItems>
      </fieldGroup>
    </cacheField>
    <cacheField name="Years (Month-Year)" numFmtId="0" databaseField="0">
      <fieldGroup base="3">
        <rangePr groupBy="years" startDate="2021-01-01T00:00:00" endDate="2023-02-02T00:00:00"/>
        <groupItems count="5">
          <s v="&lt;01-01-2021"/>
          <s v="2021"/>
          <s v="2022"/>
          <s v="2023"/>
          <s v="&gt;02-02-2023"/>
        </groupItems>
      </fieldGroup>
    </cacheField>
  </cacheFields>
  <extLst>
    <ext xmlns:x14="http://schemas.microsoft.com/office/spreadsheetml/2009/9/main" uri="{725AE2AE-9491-48be-B2B4-4EB974FC3084}">
      <x14:pivotCacheDefinition pivotCacheId="386055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8.2"/>
    <n v="106.3"/>
    <n v="108.1"/>
    <n v="104.9"/>
    <n v="106.1"/>
    <n v="103.9"/>
    <n v="101.9"/>
    <n v="106.1"/>
    <n v="106.8"/>
    <n v="103.1"/>
    <n v="104.8"/>
    <n v="106.7"/>
    <n v="105.5"/>
    <n v="105.1"/>
    <n v="106.5"/>
    <n v="105.8"/>
    <n v="106.4"/>
    <n v="0"/>
    <n v="105.5"/>
    <n v="104.8"/>
    <n v="104"/>
    <n v="103.3"/>
    <n v="103.4"/>
    <n v="103.8"/>
    <n v="104.7"/>
    <n v="104"/>
    <n v="105.56923076923076"/>
    <n v="104.25"/>
    <n v="52.4"/>
    <n v="104.35"/>
    <n v="106.23333333333335"/>
    <n v="105.1"/>
    <n v="0"/>
  </r>
  <r>
    <x v="1"/>
    <x v="0"/>
    <x v="0"/>
    <n v="110.5"/>
    <n v="109.1"/>
    <n v="113"/>
    <n v="103.6"/>
    <n v="103.4"/>
    <n v="102.3"/>
    <n v="102.9"/>
    <n v="105.8"/>
    <n v="105.1"/>
    <n v="101.8"/>
    <n v="105.1"/>
    <n v="107.9"/>
    <n v="105.9"/>
    <n v="105.2"/>
    <n v="105.9"/>
    <n v="105"/>
    <n v="105.8"/>
    <n v="100.3"/>
    <n v="105.4"/>
    <n v="104.8"/>
    <n v="104.1"/>
    <n v="103.2"/>
    <n v="102.9"/>
    <n v="103.5"/>
    <n v="104.3"/>
    <n v="103.7"/>
    <n v="105.87692307692308"/>
    <n v="104.05000000000001"/>
    <n v="102.55"/>
    <n v="104.19999999999999"/>
    <n v="105.56666666666666"/>
    <n v="104"/>
    <n v="0"/>
  </r>
  <r>
    <x v="2"/>
    <x v="0"/>
    <x v="0"/>
    <n v="108.4"/>
    <n v="107.3"/>
    <n v="110"/>
    <n v="104.4"/>
    <n v="105.1"/>
    <n v="103.2"/>
    <n v="102.2"/>
    <n v="106"/>
    <n v="106.2"/>
    <n v="102.7"/>
    <n v="104.9"/>
    <n v="107.3"/>
    <n v="105.6"/>
    <n v="105.1"/>
    <n v="106.3"/>
    <n v="105.5"/>
    <n v="106.2"/>
    <n v="100.3"/>
    <n v="105.5"/>
    <n v="104.8"/>
    <n v="104"/>
    <n v="103.2"/>
    <n v="103.1"/>
    <n v="103.6"/>
    <n v="104.5"/>
    <n v="103.9"/>
    <n v="105.63846153846156"/>
    <n v="104.1"/>
    <n v="102.55"/>
    <n v="104.25"/>
    <n v="106"/>
    <n v="104.6"/>
    <n v="0"/>
  </r>
  <r>
    <x v="0"/>
    <x v="0"/>
    <x v="1"/>
    <n v="109.2"/>
    <n v="108.7"/>
    <n v="110.2"/>
    <n v="105.4"/>
    <n v="106.7"/>
    <n v="104"/>
    <n v="102.4"/>
    <n v="105.9"/>
    <n v="105.7"/>
    <n v="103.1"/>
    <n v="105.1"/>
    <n v="107.7"/>
    <n v="106.3"/>
    <n v="105.6"/>
    <n v="107.1"/>
    <n v="106.3"/>
    <n v="107"/>
    <n v="0"/>
    <n v="106.2"/>
    <n v="105.2"/>
    <n v="104.4"/>
    <n v="103.9"/>
    <n v="104"/>
    <n v="104.1"/>
    <n v="104.6"/>
    <n v="104.4"/>
    <n v="106.18461538461537"/>
    <n v="104.8"/>
    <n v="52.6"/>
    <n v="104.5"/>
    <n v="106.8"/>
    <n v="105.8"/>
    <n v="6.6603235014272393E-3"/>
  </r>
  <r>
    <x v="1"/>
    <x v="0"/>
    <x v="1"/>
    <n v="112.9"/>
    <n v="112.9"/>
    <n v="116.9"/>
    <n v="104"/>
    <n v="103.5"/>
    <n v="103.1"/>
    <n v="104.9"/>
    <n v="104.1"/>
    <n v="103.8"/>
    <n v="102.3"/>
    <n v="106"/>
    <n v="109"/>
    <n v="107.2"/>
    <n v="106"/>
    <n v="106.6"/>
    <n v="105.5"/>
    <n v="106.4"/>
    <n v="100.4"/>
    <n v="105.7"/>
    <n v="105.2"/>
    <n v="104.7"/>
    <n v="104.4"/>
    <n v="103.3"/>
    <n v="103.7"/>
    <n v="104.3"/>
    <n v="104.3"/>
    <n v="106.96923076923078"/>
    <n v="104.65"/>
    <n v="102.80000000000001"/>
    <n v="104.5"/>
    <n v="106.16666666666667"/>
    <n v="104.7"/>
    <n v="6.730769230769258E-3"/>
  </r>
  <r>
    <x v="2"/>
    <x v="0"/>
    <x v="1"/>
    <n v="110.4"/>
    <n v="110.2"/>
    <n v="112.8"/>
    <n v="104.9"/>
    <n v="105.5"/>
    <n v="103.6"/>
    <n v="103.2"/>
    <n v="105.3"/>
    <n v="105.1"/>
    <n v="102.8"/>
    <n v="105.5"/>
    <n v="108.3"/>
    <n v="106.6"/>
    <n v="105.7"/>
    <n v="106.9"/>
    <n v="106"/>
    <n v="106.8"/>
    <n v="100.4"/>
    <n v="106"/>
    <n v="105.2"/>
    <n v="104.5"/>
    <n v="104.2"/>
    <n v="103.6"/>
    <n v="103.9"/>
    <n v="104.5"/>
    <n v="104.4"/>
    <n v="106.47692307692309"/>
    <n v="104.65"/>
    <n v="102.80000000000001"/>
    <n v="104.5"/>
    <n v="106.56666666666666"/>
    <n v="105.3"/>
    <n v="6.6921606118547118E-3"/>
  </r>
  <r>
    <x v="0"/>
    <x v="0"/>
    <x v="2"/>
    <n v="110.2"/>
    <n v="108.8"/>
    <n v="109.9"/>
    <n v="105.6"/>
    <n v="106.2"/>
    <n v="105.7"/>
    <n v="101.4"/>
    <n v="105.7"/>
    <n v="105"/>
    <n v="103.3"/>
    <n v="105.6"/>
    <n v="108.2"/>
    <n v="106.6"/>
    <n v="106.5"/>
    <n v="107.6"/>
    <n v="106.8"/>
    <n v="107.5"/>
    <n v="0"/>
    <n v="106.1"/>
    <n v="105.6"/>
    <n v="104.7"/>
    <n v="104.6"/>
    <n v="104"/>
    <n v="104.3"/>
    <n v="104.3"/>
    <n v="104.6"/>
    <n v="106.32307692307693"/>
    <n v="105.25"/>
    <n v="52.8"/>
    <n v="104.5"/>
    <n v="107.3"/>
    <n v="106"/>
    <n v="1.8903591682419929E-3"/>
  </r>
  <r>
    <x v="1"/>
    <x v="0"/>
    <x v="2"/>
    <n v="113.9"/>
    <n v="111.4"/>
    <n v="113.2"/>
    <n v="104.3"/>
    <n v="102.7"/>
    <n v="104.9"/>
    <n v="103.8"/>
    <n v="103.5"/>
    <n v="102.6"/>
    <n v="102.4"/>
    <n v="107"/>
    <n v="109.8"/>
    <n v="107.3"/>
    <n v="106.8"/>
    <n v="107.2"/>
    <n v="106"/>
    <n v="107"/>
    <n v="100.4"/>
    <n v="106"/>
    <n v="105.7"/>
    <n v="105.2"/>
    <n v="105.5"/>
    <n v="103.5"/>
    <n v="103.8"/>
    <n v="104.2"/>
    <n v="104.9"/>
    <n v="106.67692307692307"/>
    <n v="105.15"/>
    <n v="103.05000000000001"/>
    <n v="104.7"/>
    <n v="106.73333333333333"/>
    <n v="105"/>
    <n v="2.8653295128939554E-3"/>
  </r>
  <r>
    <x v="2"/>
    <x v="0"/>
    <x v="2"/>
    <n v="111.4"/>
    <n v="109.7"/>
    <n v="111.2"/>
    <n v="105.1"/>
    <n v="104.9"/>
    <n v="105.3"/>
    <n v="102.2"/>
    <n v="105"/>
    <n v="104.2"/>
    <n v="103"/>
    <n v="106.2"/>
    <n v="108.9"/>
    <n v="106.9"/>
    <n v="106.6"/>
    <n v="107.4"/>
    <n v="106.5"/>
    <n v="107.3"/>
    <n v="100.4"/>
    <n v="106.1"/>
    <n v="105.6"/>
    <n v="104.9"/>
    <n v="105.1"/>
    <n v="103.7"/>
    <n v="104"/>
    <n v="104.3"/>
    <n v="104.7"/>
    <n v="106.46153846153848"/>
    <n v="105.15"/>
    <n v="103"/>
    <n v="104.6"/>
    <n v="107.06666666666666"/>
    <n v="105.5"/>
    <n v="1.899335232668593E-3"/>
  </r>
  <r>
    <x v="0"/>
    <x v="0"/>
    <x v="3"/>
    <n v="110.2"/>
    <n v="109.5"/>
    <n v="106.9"/>
    <n v="106.3"/>
    <n v="105.7"/>
    <n v="108.3"/>
    <n v="103.4"/>
    <n v="105.7"/>
    <n v="104.2"/>
    <n v="103.2"/>
    <n v="106.5"/>
    <n v="108.8"/>
    <n v="107.1"/>
    <n v="107.1"/>
    <n v="108.1"/>
    <n v="107.4"/>
    <n v="108"/>
    <n v="0"/>
    <n v="106.5"/>
    <n v="106.1"/>
    <n v="105.1"/>
    <n v="104.4"/>
    <n v="104.5"/>
    <n v="104.8"/>
    <n v="102.7"/>
    <n v="104.6"/>
    <n v="106.6"/>
    <n v="105.8"/>
    <n v="53.05"/>
    <n v="103.9"/>
    <n v="107.83333333333333"/>
    <n v="106.4"/>
    <n v="3.7735849056604312E-3"/>
  </r>
  <r>
    <x v="1"/>
    <x v="0"/>
    <x v="3"/>
    <n v="114.6"/>
    <n v="113.4"/>
    <n v="106"/>
    <n v="104.7"/>
    <n v="102.1"/>
    <n v="109.5"/>
    <n v="109.7"/>
    <n v="104.6"/>
    <n v="102"/>
    <n v="103.5"/>
    <n v="108.2"/>
    <n v="110.6"/>
    <n v="108.8"/>
    <n v="108.5"/>
    <n v="107.9"/>
    <n v="106.4"/>
    <n v="107.7"/>
    <n v="100.5"/>
    <n v="106.4"/>
    <n v="106.5"/>
    <n v="105.7"/>
    <n v="105"/>
    <n v="104"/>
    <n v="105.2"/>
    <n v="103.2"/>
    <n v="105.1"/>
    <n v="107.5153846153846"/>
    <n v="106.25"/>
    <n v="103.5"/>
    <n v="104.45"/>
    <n v="107.33333333333333"/>
    <n v="105.7"/>
    <n v="6.666666666666694E-3"/>
  </r>
  <r>
    <x v="2"/>
    <x v="0"/>
    <x v="3"/>
    <n v="111.6"/>
    <n v="110.9"/>
    <n v="106.6"/>
    <n v="105.7"/>
    <n v="104.4"/>
    <n v="108.9"/>
    <n v="105.5"/>
    <n v="105.3"/>
    <n v="103.5"/>
    <n v="103.3"/>
    <n v="107.2"/>
    <n v="109.6"/>
    <n v="107.7"/>
    <n v="107.5"/>
    <n v="108"/>
    <n v="107"/>
    <n v="107.9"/>
    <n v="100.5"/>
    <n v="106.5"/>
    <n v="106.3"/>
    <n v="105.3"/>
    <n v="104.7"/>
    <n v="104.2"/>
    <n v="105"/>
    <n v="102.9"/>
    <n v="104.8"/>
    <n v="106.93846153846154"/>
    <n v="105.85"/>
    <n v="103.4"/>
    <n v="104.1"/>
    <n v="107.63333333333333"/>
    <n v="106.1"/>
    <n v="5.6872037914691403E-3"/>
  </r>
  <r>
    <x v="0"/>
    <x v="0"/>
    <x v="4"/>
    <n v="110.9"/>
    <n v="109.8"/>
    <n v="105.9"/>
    <n v="107.5"/>
    <n v="105.3"/>
    <n v="108.1"/>
    <n v="107.3"/>
    <n v="106.1"/>
    <n v="103.7"/>
    <n v="104"/>
    <n v="107.4"/>
    <n v="109.9"/>
    <n v="108.1"/>
    <n v="108.1"/>
    <n v="108.8"/>
    <n v="107.9"/>
    <n v="108.6"/>
    <n v="0"/>
    <n v="107.5"/>
    <n v="106.8"/>
    <n v="105.7"/>
    <n v="104.1"/>
    <n v="105"/>
    <n v="105.5"/>
    <n v="102.1"/>
    <n v="104.8"/>
    <n v="107.23076923076923"/>
    <n v="106.55"/>
    <n v="53.4"/>
    <n v="103.9"/>
    <n v="108.43333333333332"/>
    <n v="107.2"/>
    <n v="7.5187969924811757E-3"/>
  </r>
  <r>
    <x v="1"/>
    <x v="0"/>
    <x v="4"/>
    <n v="115.4"/>
    <n v="114.2"/>
    <n v="102.7"/>
    <n v="105.5"/>
    <n v="101.5"/>
    <n v="110.6"/>
    <n v="123.7"/>
    <n v="105.2"/>
    <n v="101.9"/>
    <n v="105"/>
    <n v="109.1"/>
    <n v="111.3"/>
    <n v="111.1"/>
    <n v="109.8"/>
    <n v="108.5"/>
    <n v="106.7"/>
    <n v="108.3"/>
    <n v="100.5"/>
    <n v="107.2"/>
    <n v="107.1"/>
    <n v="106.2"/>
    <n v="103.9"/>
    <n v="104.6"/>
    <n v="105.7"/>
    <n v="102.6"/>
    <n v="104.9"/>
    <n v="109.0153846153846"/>
    <n v="107.19999999999999"/>
    <n v="103.8"/>
    <n v="104.4"/>
    <n v="107.83333333333333"/>
    <n v="106.6"/>
    <n v="8.514664143803136E-3"/>
  </r>
  <r>
    <x v="2"/>
    <x v="0"/>
    <x v="4"/>
    <n v="112.3"/>
    <n v="111.3"/>
    <n v="104.7"/>
    <n v="106.8"/>
    <n v="103.9"/>
    <n v="109.3"/>
    <n v="112.9"/>
    <n v="105.8"/>
    <n v="103.1"/>
    <n v="104.3"/>
    <n v="108.1"/>
    <n v="110.5"/>
    <n v="109.2"/>
    <n v="108.6"/>
    <n v="108.7"/>
    <n v="107.4"/>
    <n v="108.5"/>
    <n v="100.5"/>
    <n v="107.4"/>
    <n v="106.9"/>
    <n v="105.9"/>
    <n v="104"/>
    <n v="104.8"/>
    <n v="105.6"/>
    <n v="102.3"/>
    <n v="104.8"/>
    <n v="107.86153846153844"/>
    <n v="106.69999999999999"/>
    <n v="103.7"/>
    <n v="104.1"/>
    <n v="108.2"/>
    <n v="106.9"/>
    <n v="7.5400565504242355E-3"/>
  </r>
  <r>
    <x v="0"/>
    <x v="0"/>
    <x v="5"/>
    <n v="112.3"/>
    <n v="112.1"/>
    <n v="108.1"/>
    <n v="108.3"/>
    <n v="105.9"/>
    <n v="109.2"/>
    <n v="118"/>
    <n v="106.8"/>
    <n v="104.1"/>
    <n v="105.4"/>
    <n v="108.2"/>
    <n v="111"/>
    <n v="110.6"/>
    <n v="109"/>
    <n v="109.7"/>
    <n v="108.8"/>
    <n v="109.5"/>
    <n v="0"/>
    <n v="108.5"/>
    <n v="107.5"/>
    <n v="106.3"/>
    <n v="105"/>
    <n v="105.6"/>
    <n v="106.5"/>
    <n v="102.5"/>
    <n v="105.5"/>
    <n v="109.23076923076923"/>
    <n v="107.3"/>
    <n v="53.75"/>
    <n v="104.4"/>
    <n v="109.33333333333333"/>
    <n v="108.9"/>
    <n v="1.5858208955223906E-2"/>
  </r>
  <r>
    <x v="1"/>
    <x v="0"/>
    <x v="5"/>
    <n v="117"/>
    <n v="120.1"/>
    <n v="112.5"/>
    <n v="107.3"/>
    <n v="101.3"/>
    <n v="112.4"/>
    <n v="143.6"/>
    <n v="105.4"/>
    <n v="101.4"/>
    <n v="106.4"/>
    <n v="110"/>
    <n v="112.2"/>
    <n v="115"/>
    <n v="110.9"/>
    <n v="109.2"/>
    <n v="107.2"/>
    <n v="108.9"/>
    <n v="106.6"/>
    <n v="108"/>
    <n v="107.7"/>
    <n v="106.5"/>
    <n v="105.2"/>
    <n v="105.2"/>
    <n v="108.1"/>
    <n v="103.3"/>
    <n v="106.1"/>
    <n v="112.66153846153847"/>
    <n v="108.05000000000001"/>
    <n v="107.15"/>
    <n v="104.9"/>
    <n v="108.43333333333334"/>
    <n v="109.7"/>
    <n v="2.9080675422138918E-2"/>
  </r>
  <r>
    <x v="2"/>
    <x v="0"/>
    <x v="5"/>
    <n v="113.8"/>
    <n v="114.9"/>
    <n v="109.8"/>
    <n v="107.9"/>
    <n v="104.2"/>
    <n v="110.7"/>
    <n v="126.7"/>
    <n v="106.3"/>
    <n v="103.2"/>
    <n v="105.7"/>
    <n v="109"/>
    <n v="111.6"/>
    <n v="112.2"/>
    <n v="109.5"/>
    <n v="109.5"/>
    <n v="108.1"/>
    <n v="109.3"/>
    <n v="106.6"/>
    <n v="108.3"/>
    <n v="107.6"/>
    <n v="106.4"/>
    <n v="105.1"/>
    <n v="105.4"/>
    <n v="107.4"/>
    <n v="102.8"/>
    <n v="105.8"/>
    <n v="110.46153846153847"/>
    <n v="107.45"/>
    <n v="107.1"/>
    <n v="104.6"/>
    <n v="108.96666666666665"/>
    <n v="109.3"/>
    <n v="2.2450888681010209E-2"/>
  </r>
  <r>
    <x v="0"/>
    <x v="0"/>
    <x v="6"/>
    <n v="113.4"/>
    <n v="114.9"/>
    <n v="110.5"/>
    <n v="109.3"/>
    <n v="106.2"/>
    <n v="110.3"/>
    <n v="129.19999999999999"/>
    <n v="107.1"/>
    <n v="104.3"/>
    <n v="106.4"/>
    <n v="109.1"/>
    <n v="112.1"/>
    <n v="113.1"/>
    <n v="109.8"/>
    <n v="110.5"/>
    <n v="109.5"/>
    <n v="110.3"/>
    <n v="0"/>
    <n v="109.5"/>
    <n v="108.3"/>
    <n v="106.9"/>
    <n v="106.8"/>
    <n v="106.4"/>
    <n v="107.8"/>
    <n v="102.5"/>
    <n v="106.5"/>
    <n v="111.22307692307689"/>
    <n v="108.1"/>
    <n v="54.15"/>
    <n v="104.7"/>
    <n v="110.10000000000001"/>
    <n v="110.7"/>
    <n v="1.6528925619834683E-2"/>
  </r>
  <r>
    <x v="1"/>
    <x v="0"/>
    <x v="6"/>
    <n v="117.8"/>
    <n v="119.2"/>
    <n v="114"/>
    <n v="108.3"/>
    <n v="101.1"/>
    <n v="113.2"/>
    <n v="160.9"/>
    <n v="105.1"/>
    <n v="101.3"/>
    <n v="107.5"/>
    <n v="110.4"/>
    <n v="113.1"/>
    <n v="117.5"/>
    <n v="111.7"/>
    <n v="109.8"/>
    <n v="107.8"/>
    <n v="109.5"/>
    <n v="107.7"/>
    <n v="108.6"/>
    <n v="108.1"/>
    <n v="107.1"/>
    <n v="107.3"/>
    <n v="105.9"/>
    <n v="110.1"/>
    <n v="103.2"/>
    <n v="107.3"/>
    <n v="114.56923076923077"/>
    <n v="108.80000000000001"/>
    <n v="107.9"/>
    <n v="105.15"/>
    <n v="109.03333333333335"/>
    <n v="111.4"/>
    <n v="1.549680948040112E-2"/>
  </r>
  <r>
    <x v="2"/>
    <x v="0"/>
    <x v="6"/>
    <n v="114.8"/>
    <n v="116.4"/>
    <n v="111.9"/>
    <n v="108.9"/>
    <n v="104.3"/>
    <n v="111.7"/>
    <n v="140"/>
    <n v="106.4"/>
    <n v="103.3"/>
    <n v="106.8"/>
    <n v="109.6"/>
    <n v="112.6"/>
    <n v="114.7"/>
    <n v="110.3"/>
    <n v="110.2"/>
    <n v="108.8"/>
    <n v="110"/>
    <n v="107.7"/>
    <n v="109.2"/>
    <n v="108.2"/>
    <n v="107"/>
    <n v="107.1"/>
    <n v="106.1"/>
    <n v="109.1"/>
    <n v="102.8"/>
    <n v="106.9"/>
    <n v="112.41538461538461"/>
    <n v="108.19999999999999"/>
    <n v="107.95"/>
    <n v="104.9"/>
    <n v="109.66666666666667"/>
    <n v="111"/>
    <n v="1.5553522415370566E-2"/>
  </r>
  <r>
    <x v="0"/>
    <x v="0"/>
    <x v="7"/>
    <n v="114.3"/>
    <n v="115.4"/>
    <n v="111.1"/>
    <n v="110"/>
    <n v="106.4"/>
    <n v="110.8"/>
    <n v="138.9"/>
    <n v="107.4"/>
    <n v="104.1"/>
    <n v="106.9"/>
    <n v="109.7"/>
    <n v="112.6"/>
    <n v="114.9"/>
    <n v="110.7"/>
    <n v="111.3"/>
    <n v="110.2"/>
    <n v="111.1"/>
    <n v="0"/>
    <n v="109.9"/>
    <n v="108.7"/>
    <n v="107.5"/>
    <n v="107.8"/>
    <n v="106.8"/>
    <n v="108.7"/>
    <n v="105"/>
    <n v="107.5"/>
    <n v="112.5"/>
    <n v="108.75"/>
    <n v="54.35"/>
    <n v="106.25"/>
    <n v="110.86666666666667"/>
    <n v="112.1"/>
    <n v="1.2646793134597935E-2"/>
  </r>
  <r>
    <x v="1"/>
    <x v="0"/>
    <x v="7"/>
    <n v="118.3"/>
    <n v="120.4"/>
    <n v="112.7"/>
    <n v="108.9"/>
    <n v="101.1"/>
    <n v="108.7"/>
    <n v="177"/>
    <n v="104.7"/>
    <n v="101"/>
    <n v="108.5"/>
    <n v="110.9"/>
    <n v="114.3"/>
    <n v="119.6"/>
    <n v="112.4"/>
    <n v="110.6"/>
    <n v="108.3"/>
    <n v="110.2"/>
    <n v="108.9"/>
    <n v="109.3"/>
    <n v="108.7"/>
    <n v="107.6"/>
    <n v="108.1"/>
    <n v="106.5"/>
    <n v="110.8"/>
    <n v="106"/>
    <n v="108.3"/>
    <n v="115.85384615384616"/>
    <n v="109.45"/>
    <n v="108.80000000000001"/>
    <n v="106.8"/>
    <n v="109.69999999999999"/>
    <n v="112.7"/>
    <n v="1.1669658886894049E-2"/>
  </r>
  <r>
    <x v="2"/>
    <x v="0"/>
    <x v="7"/>
    <n v="115.6"/>
    <n v="117.2"/>
    <n v="111.7"/>
    <n v="109.6"/>
    <n v="104.5"/>
    <n v="109.8"/>
    <n v="151.80000000000001"/>
    <n v="106.5"/>
    <n v="103.1"/>
    <n v="107.4"/>
    <n v="110.2"/>
    <n v="113.4"/>
    <n v="116.6"/>
    <n v="111.2"/>
    <n v="111"/>
    <n v="109.4"/>
    <n v="110.7"/>
    <n v="108.9"/>
    <n v="109.7"/>
    <n v="108.7"/>
    <n v="107.5"/>
    <n v="108"/>
    <n v="106.6"/>
    <n v="109.9"/>
    <n v="105.4"/>
    <n v="107.9"/>
    <n v="113.64615384615385"/>
    <n v="108.9"/>
    <n v="108.80000000000001"/>
    <n v="106.45"/>
    <n v="110.36666666666667"/>
    <n v="112.4"/>
    <n v="1.2612612612612664E-2"/>
  </r>
  <r>
    <x v="0"/>
    <x v="0"/>
    <x v="8"/>
    <n v="115.4"/>
    <n v="115.7"/>
    <n v="111.7"/>
    <n v="111"/>
    <n v="107.4"/>
    <n v="110.9"/>
    <n v="154"/>
    <n v="108.1"/>
    <n v="104.2"/>
    <n v="107.9"/>
    <n v="110.4"/>
    <n v="114"/>
    <n v="117.8"/>
    <n v="111.7"/>
    <n v="112.7"/>
    <n v="111.4"/>
    <n v="112.5"/>
    <n v="0"/>
    <n v="111.1"/>
    <n v="109.6"/>
    <n v="108.3"/>
    <n v="109.3"/>
    <n v="107.7"/>
    <n v="109.8"/>
    <n v="106.7"/>
    <n v="108.7"/>
    <n v="114.50000000000001"/>
    <n v="109.7"/>
    <n v="54.8"/>
    <n v="107.5"/>
    <n v="112.2"/>
    <n v="114.2"/>
    <n v="1.8733273862622735E-2"/>
  </r>
  <r>
    <x v="1"/>
    <x v="0"/>
    <x v="8"/>
    <n v="118.6"/>
    <n v="119.1"/>
    <n v="113.2"/>
    <n v="109.6"/>
    <n v="101.7"/>
    <n v="103.2"/>
    <n v="174.3"/>
    <n v="105.1"/>
    <n v="100.8"/>
    <n v="109.1"/>
    <n v="111.1"/>
    <n v="115.4"/>
    <n v="119.2"/>
    <n v="112.9"/>
    <n v="111.4"/>
    <n v="109"/>
    <n v="111.1"/>
    <n v="109.7"/>
    <n v="109.5"/>
    <n v="109.6"/>
    <n v="107.9"/>
    <n v="110.4"/>
    <n v="107.4"/>
    <n v="111.2"/>
    <n v="106.9"/>
    <n v="109.4"/>
    <n v="115.41538461538462"/>
    <n v="110.15"/>
    <n v="109.65"/>
    <n v="107.4"/>
    <n v="110.5"/>
    <n v="113.2"/>
    <n v="4.4365572315882874E-3"/>
  </r>
  <r>
    <x v="2"/>
    <x v="0"/>
    <x v="8"/>
    <n v="116.4"/>
    <n v="116.9"/>
    <n v="112.3"/>
    <n v="110.5"/>
    <n v="105.3"/>
    <n v="107.3"/>
    <n v="160.9"/>
    <n v="107.1"/>
    <n v="103.1"/>
    <n v="108.3"/>
    <n v="110.7"/>
    <n v="114.6"/>
    <n v="118.3"/>
    <n v="112"/>
    <n v="112.2"/>
    <n v="110.4"/>
    <n v="111.9"/>
    <n v="109.7"/>
    <n v="110.5"/>
    <n v="109.6"/>
    <n v="108.1"/>
    <n v="109.9"/>
    <n v="107.5"/>
    <n v="110.6"/>
    <n v="106.8"/>
    <n v="109"/>
    <n v="114.74615384615383"/>
    <n v="109.75"/>
    <n v="109.65"/>
    <n v="107.44999999999999"/>
    <n v="111.5"/>
    <n v="113.7"/>
    <n v="1.1565836298932359E-2"/>
  </r>
  <r>
    <x v="0"/>
    <x v="0"/>
    <x v="9"/>
    <n v="116.3"/>
    <n v="115.4"/>
    <n v="112.6"/>
    <n v="111.7"/>
    <n v="107.7"/>
    <n v="113.2"/>
    <n v="164.9"/>
    <n v="108.3"/>
    <n v="103.9"/>
    <n v="108.2"/>
    <n v="111.1"/>
    <n v="114.9"/>
    <n v="119.8"/>
    <n v="112.2"/>
    <n v="113.6"/>
    <n v="112.3"/>
    <n v="113.4"/>
    <n v="0"/>
    <n v="111.6"/>
    <n v="110.4"/>
    <n v="108.9"/>
    <n v="109.3"/>
    <n v="108.3"/>
    <n v="110.2"/>
    <n v="107.5"/>
    <n v="109.1"/>
    <n v="116"/>
    <n v="110.25"/>
    <n v="55.2"/>
    <n v="108.2"/>
    <n v="113.09999999999998"/>
    <n v="115.5"/>
    <n v="1.1383537653239904E-2"/>
  </r>
  <r>
    <x v="1"/>
    <x v="0"/>
    <x v="9"/>
    <n v="118.9"/>
    <n v="118.1"/>
    <n v="114.5"/>
    <n v="110.4"/>
    <n v="102.3"/>
    <n v="106.2"/>
    <n v="183.5"/>
    <n v="105.3"/>
    <n v="100.2"/>
    <n v="109.6"/>
    <n v="111.4"/>
    <n v="116"/>
    <n v="120.8"/>
    <n v="113.5"/>
    <n v="112.5"/>
    <n v="109.7"/>
    <n v="112"/>
    <n v="110.5"/>
    <n v="109.7"/>
    <n v="110.2"/>
    <n v="108.2"/>
    <n v="109.7"/>
    <n v="108"/>
    <n v="111.3"/>
    <n v="107.3"/>
    <n v="109.4"/>
    <n v="116.7076923076923"/>
    <n v="110.75"/>
    <n v="110.35"/>
    <n v="107.75"/>
    <n v="111.39999999999999"/>
    <n v="114"/>
    <n v="7.0671378091872539E-3"/>
  </r>
  <r>
    <x v="2"/>
    <x v="0"/>
    <x v="9"/>
    <n v="117.1"/>
    <n v="116.3"/>
    <n v="113.3"/>
    <n v="111.2"/>
    <n v="105.7"/>
    <n v="109.9"/>
    <n v="171.2"/>
    <n v="107.3"/>
    <n v="102.7"/>
    <n v="108.7"/>
    <n v="111.2"/>
    <n v="115.4"/>
    <n v="120.2"/>
    <n v="112.5"/>
    <n v="113.2"/>
    <n v="111.2"/>
    <n v="112.8"/>
    <n v="110.5"/>
    <n v="110.9"/>
    <n v="110.3"/>
    <n v="108.6"/>
    <n v="109.5"/>
    <n v="108.1"/>
    <n v="110.8"/>
    <n v="107.4"/>
    <n v="109.2"/>
    <n v="116.16923076923079"/>
    <n v="110.3"/>
    <n v="110.4"/>
    <n v="108"/>
    <n v="112.39999999999999"/>
    <n v="114.8"/>
    <n v="9.6745822339489376E-3"/>
  </r>
  <r>
    <x v="0"/>
    <x v="0"/>
    <x v="10"/>
    <n v="117.3"/>
    <n v="114.9"/>
    <n v="116.2"/>
    <n v="112.8"/>
    <n v="108.9"/>
    <n v="116.6"/>
    <n v="178.1"/>
    <n v="109.1"/>
    <n v="103.6"/>
    <n v="109"/>
    <n v="111.8"/>
    <n v="116"/>
    <n v="122.5"/>
    <n v="112.8"/>
    <n v="114.6"/>
    <n v="113.1"/>
    <n v="114.4"/>
    <n v="0"/>
    <n v="112.6"/>
    <n v="111.3"/>
    <n v="109.7"/>
    <n v="109.6"/>
    <n v="108.7"/>
    <n v="111"/>
    <n v="108.2"/>
    <n v="109.8"/>
    <n v="118.21538461538461"/>
    <n v="110.75"/>
    <n v="55.65"/>
    <n v="108.95"/>
    <n v="114.03333333333335"/>
    <n v="117.4"/>
    <n v="1.64502164502165E-2"/>
  </r>
  <r>
    <x v="1"/>
    <x v="0"/>
    <x v="10"/>
    <n v="119.8"/>
    <n v="116.3"/>
    <n v="122.6"/>
    <n v="112"/>
    <n v="103.2"/>
    <n v="110"/>
    <n v="192.8"/>
    <n v="106.3"/>
    <n v="99.5"/>
    <n v="110.3"/>
    <n v="111.8"/>
    <n v="117.1"/>
    <n v="122.9"/>
    <n v="114.1"/>
    <n v="113.5"/>
    <n v="110.3"/>
    <n v="113"/>
    <n v="111.1"/>
    <n v="110"/>
    <n v="110.9"/>
    <n v="108.6"/>
    <n v="109.5"/>
    <n v="108.5"/>
    <n v="111.3"/>
    <n v="107.9"/>
    <n v="109.6"/>
    <n v="118.8153846153846"/>
    <n v="111.3"/>
    <n v="111"/>
    <n v="108.25"/>
    <n v="112.26666666666667"/>
    <n v="115"/>
    <n v="8.771929824561403E-3"/>
  </r>
  <r>
    <x v="2"/>
    <x v="0"/>
    <x v="10"/>
    <n v="118.1"/>
    <n v="115.4"/>
    <n v="118.7"/>
    <n v="112.5"/>
    <n v="106.8"/>
    <n v="113.5"/>
    <n v="183.1"/>
    <n v="108.2"/>
    <n v="102.2"/>
    <n v="109.4"/>
    <n v="111.8"/>
    <n v="116.5"/>
    <n v="122.6"/>
    <n v="113.1"/>
    <n v="114.2"/>
    <n v="111.9"/>
    <n v="113.8"/>
    <n v="111.1"/>
    <n v="111.6"/>
    <n v="111.1"/>
    <n v="109.3"/>
    <n v="109.5"/>
    <n v="108.6"/>
    <n v="111.2"/>
    <n v="108.1"/>
    <n v="109.7"/>
    <n v="118.36923076923077"/>
    <n v="110.85"/>
    <n v="111.1"/>
    <n v="108.69999999999999"/>
    <n v="113.30000000000001"/>
    <n v="116.3"/>
    <n v="1.3066202090592335E-2"/>
  </r>
  <r>
    <x v="0"/>
    <x v="0"/>
    <x v="11"/>
    <n v="118.4"/>
    <n v="115.9"/>
    <n v="120.4"/>
    <n v="113.8"/>
    <n v="109.5"/>
    <n v="115.5"/>
    <n v="145.69999999999999"/>
    <n v="109.5"/>
    <n v="102.9"/>
    <n v="109.8"/>
    <n v="112.1"/>
    <n v="116.8"/>
    <n v="118.7"/>
    <n v="113.6"/>
    <n v="115.8"/>
    <n v="114"/>
    <n v="115.5"/>
    <n v="0"/>
    <n v="112.8"/>
    <n v="112.1"/>
    <n v="110.1"/>
    <n v="109.9"/>
    <n v="109.2"/>
    <n v="111.6"/>
    <n v="108.1"/>
    <n v="110.1"/>
    <n v="116.07692307692308"/>
    <n v="111.4"/>
    <n v="56.05"/>
    <n v="109.1"/>
    <n v="115.10000000000001"/>
    <n v="115.5"/>
    <n v="-1.6183986371379945E-2"/>
  </r>
  <r>
    <x v="1"/>
    <x v="0"/>
    <x v="11"/>
    <n v="120.5"/>
    <n v="118.1"/>
    <n v="128.5"/>
    <n v="112.8"/>
    <n v="103.4"/>
    <n v="110.7"/>
    <n v="144.80000000000001"/>
    <n v="107.1"/>
    <n v="98.6"/>
    <n v="111.9"/>
    <n v="112.1"/>
    <n v="118.1"/>
    <n v="117.8"/>
    <n v="115"/>
    <n v="114.2"/>
    <n v="110.9"/>
    <n v="113.7"/>
    <n v="110.7"/>
    <n v="110.4"/>
    <n v="111.3"/>
    <n v="109"/>
    <n v="109.7"/>
    <n v="108.9"/>
    <n v="111.4"/>
    <n v="107.7"/>
    <n v="109.8"/>
    <n v="115.72307692307693"/>
    <n v="111.95"/>
    <n v="111"/>
    <n v="108.35"/>
    <n v="112.93333333333334"/>
    <n v="113.3"/>
    <n v="-1.4782608695652198E-2"/>
  </r>
  <r>
    <x v="2"/>
    <x v="0"/>
    <x v="11"/>
    <n v="119.1"/>
    <n v="116.7"/>
    <n v="123.5"/>
    <n v="113.4"/>
    <n v="107.3"/>
    <n v="113.3"/>
    <n v="145.4"/>
    <n v="108.7"/>
    <n v="101.5"/>
    <n v="110.5"/>
    <n v="112.1"/>
    <n v="117.4"/>
    <n v="118.4"/>
    <n v="114"/>
    <n v="115.2"/>
    <n v="112.7"/>
    <n v="114.8"/>
    <n v="110.7"/>
    <n v="111.9"/>
    <n v="111.7"/>
    <n v="109.7"/>
    <n v="109.8"/>
    <n v="109"/>
    <n v="111.5"/>
    <n v="107.9"/>
    <n v="110"/>
    <n v="115.94615384615386"/>
    <n v="111.5"/>
    <n v="111.2"/>
    <n v="108.80000000000001"/>
    <n v="114.23333333333333"/>
    <n v="114.5"/>
    <n v="-1.5477214101461714E-2"/>
  </r>
  <r>
    <x v="0"/>
    <x v="1"/>
    <x v="0"/>
    <n v="118.9"/>
    <n v="117.1"/>
    <n v="120.5"/>
    <n v="114.4"/>
    <n v="109"/>
    <n v="115.5"/>
    <n v="123.9"/>
    <n v="109.6"/>
    <n v="101.8"/>
    <n v="110.2"/>
    <n v="112.4"/>
    <n v="117.3"/>
    <n v="116"/>
    <n v="114"/>
    <n v="116.5"/>
    <n v="114.5"/>
    <n v="116.2"/>
    <n v="0"/>
    <n v="113"/>
    <n v="112.6"/>
    <n v="110.6"/>
    <n v="110.5"/>
    <n v="109.6"/>
    <n v="111.8"/>
    <n v="108.3"/>
    <n v="110.6"/>
    <n v="114.35384615384616"/>
    <n v="111.8"/>
    <n v="56.3"/>
    <n v="109.44999999999999"/>
    <n v="115.73333333333333"/>
    <n v="114.2"/>
    <n v="-1.125541125541123E-2"/>
  </r>
  <r>
    <x v="1"/>
    <x v="1"/>
    <x v="0"/>
    <n v="121.2"/>
    <n v="122"/>
    <n v="129.9"/>
    <n v="113.6"/>
    <n v="102.9"/>
    <n v="112.1"/>
    <n v="118.9"/>
    <n v="107.5"/>
    <n v="96.9"/>
    <n v="112.7"/>
    <n v="112.1"/>
    <n v="119"/>
    <n v="115.5"/>
    <n v="115.7"/>
    <n v="114.8"/>
    <n v="111.3"/>
    <n v="114.3"/>
    <n v="111.6"/>
    <n v="111"/>
    <n v="111.9"/>
    <n v="109.7"/>
    <n v="110.8"/>
    <n v="109.8"/>
    <n v="111.5"/>
    <n v="108"/>
    <n v="110.5"/>
    <n v="114.17692307692307"/>
    <n v="112.75"/>
    <n v="111.75"/>
    <n v="108.85"/>
    <n v="113.46666666666665"/>
    <n v="112.9"/>
    <n v="-3.5304501323918046E-3"/>
  </r>
  <r>
    <x v="2"/>
    <x v="1"/>
    <x v="0"/>
    <n v="119.6"/>
    <n v="118.8"/>
    <n v="124.1"/>
    <n v="114.1"/>
    <n v="106.8"/>
    <n v="113.9"/>
    <n v="122.2"/>
    <n v="108.9"/>
    <n v="100.2"/>
    <n v="111"/>
    <n v="112.3"/>
    <n v="118.1"/>
    <n v="115.8"/>
    <n v="114.5"/>
    <n v="115.8"/>
    <n v="113.2"/>
    <n v="115.4"/>
    <n v="111.6"/>
    <n v="112.2"/>
    <n v="112.3"/>
    <n v="110.3"/>
    <n v="110.7"/>
    <n v="109.7"/>
    <n v="111.6"/>
    <n v="108.2"/>
    <n v="110.6"/>
    <n v="114.29230769230767"/>
    <n v="112.1"/>
    <n v="111.94999999999999"/>
    <n v="109.25"/>
    <n v="114.8"/>
    <n v="113.6"/>
    <n v="-7.8602620087336733E-3"/>
  </r>
  <r>
    <x v="0"/>
    <x v="1"/>
    <x v="1"/>
    <n v="119.4"/>
    <n v="117.7"/>
    <n v="121.2"/>
    <n v="115"/>
    <n v="109"/>
    <n v="116.6"/>
    <n v="116"/>
    <n v="109.8"/>
    <n v="101.1"/>
    <n v="110.4"/>
    <n v="112.9"/>
    <n v="117.8"/>
    <n v="115.3"/>
    <n v="114.2"/>
    <n v="117.1"/>
    <n v="114.5"/>
    <n v="116.7"/>
    <n v="0"/>
    <n v="113.2"/>
    <n v="112.9"/>
    <n v="110.9"/>
    <n v="110.8"/>
    <n v="109.9"/>
    <n v="112"/>
    <n v="108.7"/>
    <n v="110.9"/>
    <n v="114.01538461538462"/>
    <n v="112.05000000000001"/>
    <n v="56.45"/>
    <n v="109.80000000000001"/>
    <n v="116.10000000000001"/>
    <n v="114"/>
    <n v="-1.7513134851138603E-3"/>
  </r>
  <r>
    <x v="1"/>
    <x v="1"/>
    <x v="1"/>
    <n v="121.9"/>
    <n v="122"/>
    <n v="124.5"/>
    <n v="115.2"/>
    <n v="102.5"/>
    <n v="114.1"/>
    <n v="111.5"/>
    <n v="108.2"/>
    <n v="95.4"/>
    <n v="113.5"/>
    <n v="112.1"/>
    <n v="119.9"/>
    <n v="115.2"/>
    <n v="116.2"/>
    <n v="115.3"/>
    <n v="111.7"/>
    <n v="114.7"/>
    <n v="112.5"/>
    <n v="111.1"/>
    <n v="112.6"/>
    <n v="110.4"/>
    <n v="111.3"/>
    <n v="110.3"/>
    <n v="111.6"/>
    <n v="108.7"/>
    <n v="111"/>
    <n v="113.53846153846153"/>
    <n v="113.25"/>
    <n v="112.55"/>
    <n v="109.55000000000001"/>
    <n v="113.89999999999999"/>
    <n v="113.1"/>
    <n v="1.7714791851194741E-3"/>
  </r>
  <r>
    <x v="2"/>
    <x v="1"/>
    <x v="1"/>
    <n v="120.2"/>
    <n v="119.2"/>
    <n v="122.5"/>
    <n v="115.1"/>
    <n v="106.6"/>
    <n v="115.4"/>
    <n v="114.5"/>
    <n v="109.3"/>
    <n v="99.2"/>
    <n v="111.4"/>
    <n v="112.6"/>
    <n v="118.8"/>
    <n v="115.3"/>
    <n v="114.7"/>
    <n v="116.4"/>
    <n v="113.3"/>
    <n v="115.9"/>
    <n v="112.5"/>
    <n v="112.4"/>
    <n v="112.8"/>
    <n v="110.7"/>
    <n v="111.1"/>
    <n v="110.1"/>
    <n v="111.8"/>
    <n v="108.7"/>
    <n v="110.9"/>
    <n v="113.85384615384615"/>
    <n v="112.4"/>
    <n v="112.65"/>
    <n v="109.7"/>
    <n v="115.2"/>
    <n v="113.6"/>
    <n v="0"/>
  </r>
  <r>
    <x v="0"/>
    <x v="1"/>
    <x v="2"/>
    <n v="120.1"/>
    <n v="118.1"/>
    <n v="120.7"/>
    <n v="116.1"/>
    <n v="109.3"/>
    <n v="119.6"/>
    <n v="117.9"/>
    <n v="110.2"/>
    <n v="101.2"/>
    <n v="110.7"/>
    <n v="113"/>
    <n v="118.3"/>
    <n v="116.2"/>
    <n v="114.6"/>
    <n v="117.5"/>
    <n v="114.9"/>
    <n v="117.2"/>
    <n v="0"/>
    <n v="113.4"/>
    <n v="113.4"/>
    <n v="111.4"/>
    <n v="111.2"/>
    <n v="110.2"/>
    <n v="112.4"/>
    <n v="108.9"/>
    <n v="111.3"/>
    <n v="114.72307692307693"/>
    <n v="112.4"/>
    <n v="56.7"/>
    <n v="110.15"/>
    <n v="116.53333333333335"/>
    <n v="114.6"/>
    <n v="5.2631578947367925E-3"/>
  </r>
  <r>
    <x v="1"/>
    <x v="1"/>
    <x v="2"/>
    <n v="122.1"/>
    <n v="121.4"/>
    <n v="121.5"/>
    <n v="116.2"/>
    <n v="102.8"/>
    <n v="117.7"/>
    <n v="113.3"/>
    <n v="108.9"/>
    <n v="96.3"/>
    <n v="114.1"/>
    <n v="112.2"/>
    <n v="120.5"/>
    <n v="116"/>
    <n v="116.7"/>
    <n v="115.8"/>
    <n v="112.1"/>
    <n v="115.2"/>
    <n v="113.2"/>
    <n v="110.9"/>
    <n v="113"/>
    <n v="110.8"/>
    <n v="111.6"/>
    <n v="110.9"/>
    <n v="111.8"/>
    <n v="109.2"/>
    <n v="111.4"/>
    <n v="114.07692307692308"/>
    <n v="113.80000000000001"/>
    <n v="113.1"/>
    <n v="110"/>
    <n v="114.36666666666666"/>
    <n v="113.7"/>
    <n v="5.3050397877984845E-3"/>
  </r>
  <r>
    <x v="2"/>
    <x v="1"/>
    <x v="2"/>
    <n v="120.7"/>
    <n v="119.3"/>
    <n v="121"/>
    <n v="116.1"/>
    <n v="106.9"/>
    <n v="118.7"/>
    <n v="116.3"/>
    <n v="109.8"/>
    <n v="99.6"/>
    <n v="111.8"/>
    <n v="112.7"/>
    <n v="119.3"/>
    <n v="116.1"/>
    <n v="115.2"/>
    <n v="116.8"/>
    <n v="113.7"/>
    <n v="116.4"/>
    <n v="113.2"/>
    <n v="112.5"/>
    <n v="113.2"/>
    <n v="111.2"/>
    <n v="111.4"/>
    <n v="110.6"/>
    <n v="112"/>
    <n v="109"/>
    <n v="111.3"/>
    <n v="114.48461538461537"/>
    <n v="112.9"/>
    <n v="113.2"/>
    <n v="110.1"/>
    <n v="115.63333333333333"/>
    <n v="114.2"/>
    <n v="5.2816901408451458E-3"/>
  </r>
  <r>
    <x v="0"/>
    <x v="1"/>
    <x v="3"/>
    <n v="120.2"/>
    <n v="118.9"/>
    <n v="118.1"/>
    <n v="117"/>
    <n v="109.7"/>
    <n v="125.5"/>
    <n v="120.5"/>
    <n v="111"/>
    <n v="102.6"/>
    <n v="111.2"/>
    <n v="113.5"/>
    <n v="118.7"/>
    <n v="117.2"/>
    <n v="115.4"/>
    <n v="118.1"/>
    <n v="116.1"/>
    <n v="117.8"/>
    <n v="0"/>
    <n v="113.4"/>
    <n v="113.7"/>
    <n v="111.8"/>
    <n v="111.2"/>
    <n v="110.5"/>
    <n v="113"/>
    <n v="108.9"/>
    <n v="111.5"/>
    <n v="115.70000000000002"/>
    <n v="112.95"/>
    <n v="56.85"/>
    <n v="110.35"/>
    <n v="117.33333333333333"/>
    <n v="115.4"/>
    <n v="6.9808027923212168E-3"/>
  </r>
  <r>
    <x v="1"/>
    <x v="1"/>
    <x v="3"/>
    <n v="122.5"/>
    <n v="121.7"/>
    <n v="113.3"/>
    <n v="117"/>
    <n v="103.1"/>
    <n v="126.7"/>
    <n v="121.2"/>
    <n v="111"/>
    <n v="100.3"/>
    <n v="115.3"/>
    <n v="112.7"/>
    <n v="121"/>
    <n v="118.2"/>
    <n v="117.6"/>
    <n v="116.3"/>
    <n v="112.5"/>
    <n v="115.7"/>
    <n v="113.9"/>
    <n v="110.9"/>
    <n v="113.4"/>
    <n v="111"/>
    <n v="111.2"/>
    <n v="111.2"/>
    <n v="112.5"/>
    <n v="109.1"/>
    <n v="111.4"/>
    <n v="115.69230769230771"/>
    <n v="114.4"/>
    <n v="113.65"/>
    <n v="110.05"/>
    <n v="114.83333333333333"/>
    <n v="114.7"/>
    <n v="8.7950747581354433E-3"/>
  </r>
  <r>
    <x v="2"/>
    <x v="1"/>
    <x v="3"/>
    <n v="120.9"/>
    <n v="119.9"/>
    <n v="116.2"/>
    <n v="117"/>
    <n v="107.3"/>
    <n v="126.1"/>
    <n v="120.7"/>
    <n v="111"/>
    <n v="101.8"/>
    <n v="112.6"/>
    <n v="113.2"/>
    <n v="119.8"/>
    <n v="117.6"/>
    <n v="116"/>
    <n v="117.4"/>
    <n v="114.6"/>
    <n v="117"/>
    <n v="113.9"/>
    <n v="112.5"/>
    <n v="113.6"/>
    <n v="111.5"/>
    <n v="111.2"/>
    <n v="110.9"/>
    <n v="112.7"/>
    <n v="109"/>
    <n v="111.5"/>
    <n v="115.69999999999999"/>
    <n v="113.45"/>
    <n v="113.75"/>
    <n v="110.25"/>
    <n v="116.33333333333333"/>
    <n v="115.1"/>
    <n v="7.8809106830121847E-3"/>
  </r>
  <r>
    <x v="0"/>
    <x v="1"/>
    <x v="4"/>
    <n v="120.3"/>
    <n v="120.2"/>
    <n v="116.9"/>
    <n v="118"/>
    <n v="110.1"/>
    <n v="126.3"/>
    <n v="123.9"/>
    <n v="111.5"/>
    <n v="103.5"/>
    <n v="111.6"/>
    <n v="114.2"/>
    <n v="119.2"/>
    <n v="118.2"/>
    <n v="116.3"/>
    <n v="118.7"/>
    <n v="116.8"/>
    <n v="118.5"/>
    <n v="0"/>
    <n v="113.4"/>
    <n v="114.1"/>
    <n v="112.1"/>
    <n v="111.4"/>
    <n v="110.9"/>
    <n v="113.1"/>
    <n v="108.9"/>
    <n v="111.8"/>
    <n v="116.45384615384614"/>
    <n v="113.6"/>
    <n v="57.05"/>
    <n v="110.5"/>
    <n v="118"/>
    <n v="116"/>
    <n v="5.1993067590987369E-3"/>
  </r>
  <r>
    <x v="1"/>
    <x v="1"/>
    <x v="4"/>
    <n v="122.7"/>
    <n v="124.1"/>
    <n v="114.2"/>
    <n v="119.1"/>
    <n v="103.5"/>
    <n v="129.19999999999999"/>
    <n v="127"/>
    <n v="112.6"/>
    <n v="101.3"/>
    <n v="117"/>
    <n v="112.9"/>
    <n v="121.7"/>
    <n v="120"/>
    <n v="118.3"/>
    <n v="116.8"/>
    <n v="112.9"/>
    <n v="116.2"/>
    <n v="114.3"/>
    <n v="111.1"/>
    <n v="114.1"/>
    <n v="111.2"/>
    <n v="111.3"/>
    <n v="111.5"/>
    <n v="112.9"/>
    <n v="109.3"/>
    <n v="111.7"/>
    <n v="117.33076923076925"/>
    <n v="114.9"/>
    <n v="114.19999999999999"/>
    <n v="110.25"/>
    <n v="115.3"/>
    <n v="115.6"/>
    <n v="7.8465562336529331E-3"/>
  </r>
  <r>
    <x v="2"/>
    <x v="1"/>
    <x v="4"/>
    <n v="121.1"/>
    <n v="121.6"/>
    <n v="115.9"/>
    <n v="118.4"/>
    <n v="107.7"/>
    <n v="127.7"/>
    <n v="125"/>
    <n v="111.9"/>
    <n v="102.8"/>
    <n v="113.4"/>
    <n v="113.7"/>
    <n v="120.4"/>
    <n v="118.9"/>
    <n v="116.8"/>
    <n v="118"/>
    <n v="115.2"/>
    <n v="117.6"/>
    <n v="114.3"/>
    <n v="112.5"/>
    <n v="114.1"/>
    <n v="111.8"/>
    <n v="111.3"/>
    <n v="111.2"/>
    <n v="113"/>
    <n v="109.1"/>
    <n v="111.8"/>
    <n v="116.80769230769235"/>
    <n v="114"/>
    <n v="114.19999999999999"/>
    <n v="110.44999999999999"/>
    <n v="116.93333333333332"/>
    <n v="115.8"/>
    <n v="6.0816681146829091E-3"/>
  </r>
  <r>
    <x v="0"/>
    <x v="1"/>
    <x v="5"/>
    <n v="120.7"/>
    <n v="121.6"/>
    <n v="116.1"/>
    <n v="119.3"/>
    <n v="110.3"/>
    <n v="125.8"/>
    <n v="129.30000000000001"/>
    <n v="112.2"/>
    <n v="103.6"/>
    <n v="112.3"/>
    <n v="114.9"/>
    <n v="120.1"/>
    <n v="119.5"/>
    <n v="117.3"/>
    <n v="119.7"/>
    <n v="117.3"/>
    <n v="119.3"/>
    <n v="0"/>
    <n v="114.4"/>
    <n v="114.9"/>
    <n v="112.8"/>
    <n v="112.2"/>
    <n v="111.4"/>
    <n v="114.3"/>
    <n v="108"/>
    <n v="112.3"/>
    <n v="117.36153846153844"/>
    <n v="114.35"/>
    <n v="57.45"/>
    <n v="110.4"/>
    <n v="118.76666666666667"/>
    <n v="117"/>
    <n v="8.6206896551724137E-3"/>
  </r>
  <r>
    <x v="1"/>
    <x v="1"/>
    <x v="5"/>
    <n v="123.1"/>
    <n v="125.9"/>
    <n v="115.4"/>
    <n v="120.4"/>
    <n v="103.4"/>
    <n v="131.19999999999999"/>
    <n v="137.5"/>
    <n v="112.8"/>
    <n v="101.4"/>
    <n v="118.3"/>
    <n v="113.2"/>
    <n v="122.4"/>
    <n v="122"/>
    <n v="119"/>
    <n v="117.4"/>
    <n v="113.2"/>
    <n v="116.7"/>
    <n v="113.9"/>
    <n v="111.2"/>
    <n v="114.3"/>
    <n v="111.4"/>
    <n v="111.5"/>
    <n v="111.8"/>
    <n v="115.1"/>
    <n v="108.7"/>
    <n v="112.2"/>
    <n v="119"/>
    <n v="115.4"/>
    <n v="114.1"/>
    <n v="110.05000000000001"/>
    <n v="115.76666666666667"/>
    <n v="116.4"/>
    <n v="6.9204152249135939E-3"/>
  </r>
  <r>
    <x v="2"/>
    <x v="1"/>
    <x v="5"/>
    <n v="121.5"/>
    <n v="123.1"/>
    <n v="115.8"/>
    <n v="119.7"/>
    <n v="107.8"/>
    <n v="128.30000000000001"/>
    <n v="132.1"/>
    <n v="112.4"/>
    <n v="102.9"/>
    <n v="114.3"/>
    <n v="114.2"/>
    <n v="121.2"/>
    <n v="120.4"/>
    <n v="117.8"/>
    <n v="118.8"/>
    <n v="115.6"/>
    <n v="118.3"/>
    <n v="113.9"/>
    <n v="113.2"/>
    <n v="114.6"/>
    <n v="112.3"/>
    <n v="111.8"/>
    <n v="111.6"/>
    <n v="114.8"/>
    <n v="108.3"/>
    <n v="112.3"/>
    <n v="117.9769230769231"/>
    <n v="114.69999999999999"/>
    <n v="114.25"/>
    <n v="110.3"/>
    <n v="117.56666666666666"/>
    <n v="116.7"/>
    <n v="7.7720207253886503E-3"/>
  </r>
  <r>
    <x v="0"/>
    <x v="1"/>
    <x v="6"/>
    <n v="121.7"/>
    <n v="122.5"/>
    <n v="117.7"/>
    <n v="120.6"/>
    <n v="110.4"/>
    <n v="129.1"/>
    <n v="150.1"/>
    <n v="113.2"/>
    <n v="104.8"/>
    <n v="113.3"/>
    <n v="115.6"/>
    <n v="120.9"/>
    <n v="123.3"/>
    <n v="118"/>
    <n v="120.7"/>
    <n v="118.3"/>
    <n v="120.3"/>
    <n v="0"/>
    <n v="115.3"/>
    <n v="115.4"/>
    <n v="113.4"/>
    <n v="113.2"/>
    <n v="111.8"/>
    <n v="115.5"/>
    <n v="108.8"/>
    <n v="113.1"/>
    <n v="120.24615384615385"/>
    <n v="114.9"/>
    <n v="57.7"/>
    <n v="111.1"/>
    <n v="119.76666666666667"/>
    <n v="119.5"/>
    <n v="2.1367521367521368E-2"/>
  </r>
  <r>
    <x v="1"/>
    <x v="1"/>
    <x v="6"/>
    <n v="123.8"/>
    <n v="126.4"/>
    <n v="118"/>
    <n v="121.6"/>
    <n v="103.5"/>
    <n v="133.69999999999999"/>
    <n v="172.4"/>
    <n v="113.1"/>
    <n v="102.7"/>
    <n v="120"/>
    <n v="113.8"/>
    <n v="123.4"/>
    <n v="127.1"/>
    <n v="121"/>
    <n v="118"/>
    <n v="113.6"/>
    <n v="117.4"/>
    <n v="114.8"/>
    <n v="111.6"/>
    <n v="114.9"/>
    <n v="111.5"/>
    <n v="113"/>
    <n v="112.4"/>
    <n v="117.8"/>
    <n v="109.7"/>
    <n v="113.5"/>
    <n v="123.03846153846153"/>
    <n v="116.7"/>
    <n v="114.85"/>
    <n v="110.6"/>
    <n v="116.33333333333333"/>
    <n v="118.9"/>
    <n v="2.147766323024055E-2"/>
  </r>
  <r>
    <x v="2"/>
    <x v="1"/>
    <x v="6"/>
    <n v="122.4"/>
    <n v="123.9"/>
    <n v="117.8"/>
    <n v="121"/>
    <n v="107.9"/>
    <n v="131.19999999999999"/>
    <n v="157.69999999999999"/>
    <n v="113.2"/>
    <n v="104.1"/>
    <n v="115.5"/>
    <n v="114.8"/>
    <n v="122.1"/>
    <n v="124.7"/>
    <n v="118.8"/>
    <n v="119.6"/>
    <n v="116.3"/>
    <n v="119.1"/>
    <n v="114.8"/>
    <n v="113.9"/>
    <n v="115.2"/>
    <n v="112.7"/>
    <n v="113.1"/>
    <n v="112.1"/>
    <n v="116.8"/>
    <n v="109.2"/>
    <n v="113.3"/>
    <n v="121.25384615384615"/>
    <n v="115.44999999999999"/>
    <n v="115"/>
    <n v="110.95"/>
    <n v="118.33333333333333"/>
    <n v="119.2"/>
    <n v="2.1422450728363324E-2"/>
  </r>
  <r>
    <x v="0"/>
    <x v="1"/>
    <x v="7"/>
    <n v="121.8"/>
    <n v="122.8"/>
    <n v="117.8"/>
    <n v="121.9"/>
    <n v="110.6"/>
    <n v="129.69999999999999"/>
    <n v="161.1"/>
    <n v="114.1"/>
    <n v="105.1"/>
    <n v="114.6"/>
    <n v="115.8"/>
    <n v="121.7"/>
    <n v="125.3"/>
    <n v="118.8"/>
    <n v="120.9"/>
    <n v="118.8"/>
    <n v="120.7"/>
    <n v="0"/>
    <n v="115.4"/>
    <n v="115.9"/>
    <n v="114"/>
    <n v="113.2"/>
    <n v="112.2"/>
    <n v="116.2"/>
    <n v="109.4"/>
    <n v="113.5"/>
    <n v="121.71538461538459"/>
    <n v="115.5"/>
    <n v="57.95"/>
    <n v="111.7"/>
    <n v="120.13333333333333"/>
    <n v="120.7"/>
    <n v="1.0041841004184125E-2"/>
  </r>
  <r>
    <x v="1"/>
    <x v="1"/>
    <x v="7"/>
    <n v="124.8"/>
    <n v="127.3"/>
    <n v="116.5"/>
    <n v="122.2"/>
    <n v="103.6"/>
    <n v="132.69999999999999"/>
    <n v="181.9"/>
    <n v="115.2"/>
    <n v="102.7"/>
    <n v="122.1"/>
    <n v="114.4"/>
    <n v="124.7"/>
    <n v="128.9"/>
    <n v="123"/>
    <n v="118.6"/>
    <n v="114.1"/>
    <n v="117.9"/>
    <n v="115.5"/>
    <n v="111.8"/>
    <n v="115.3"/>
    <n v="112.2"/>
    <n v="112.5"/>
    <n v="112.9"/>
    <n v="119.2"/>
    <n v="110.5"/>
    <n v="113.9"/>
    <n v="124.38461538461539"/>
    <n v="117.95"/>
    <n v="115.4"/>
    <n v="111.35"/>
    <n v="116.86666666666667"/>
    <n v="119.9"/>
    <n v="8.4104289318755257E-3"/>
  </r>
  <r>
    <x v="2"/>
    <x v="1"/>
    <x v="7"/>
    <n v="122.7"/>
    <n v="124.4"/>
    <n v="117.3"/>
    <n v="122"/>
    <n v="108"/>
    <n v="131.1"/>
    <n v="168.2"/>
    <n v="114.5"/>
    <n v="104.3"/>
    <n v="117.1"/>
    <n v="115.2"/>
    <n v="123.1"/>
    <n v="126.6"/>
    <n v="119.9"/>
    <n v="120"/>
    <n v="116.8"/>
    <n v="119.6"/>
    <n v="115.5"/>
    <n v="114"/>
    <n v="115.6"/>
    <n v="113.3"/>
    <n v="112.8"/>
    <n v="112.6"/>
    <n v="118"/>
    <n v="109.9"/>
    <n v="113.7"/>
    <n v="122.65384615384613"/>
    <n v="116.25"/>
    <n v="115.55"/>
    <n v="111.6"/>
    <n v="118.8"/>
    <n v="120.3"/>
    <n v="9.2281879194630392E-3"/>
  </r>
  <r>
    <x v="0"/>
    <x v="1"/>
    <x v="8"/>
    <n v="122.3"/>
    <n v="122.4"/>
    <n v="117.8"/>
    <n v="122.7"/>
    <n v="110.4"/>
    <n v="129.80000000000001"/>
    <n v="158.80000000000001"/>
    <n v="115"/>
    <n v="104.7"/>
    <n v="114.9"/>
    <n v="116.5"/>
    <n v="122.6"/>
    <n v="125.3"/>
    <n v="119.5"/>
    <n v="121.7"/>
    <n v="119.2"/>
    <n v="121.3"/>
    <n v="0"/>
    <n v="115.8"/>
    <n v="116.7"/>
    <n v="114.5"/>
    <n v="112.8"/>
    <n v="112.6"/>
    <n v="116.6"/>
    <n v="109.1"/>
    <n v="113.7"/>
    <n v="121.78461538461539"/>
    <n v="116.05"/>
    <n v="58.35"/>
    <n v="111.8"/>
    <n v="120.73333333333333"/>
    <n v="120.9"/>
    <n v="1.6570008285004378E-3"/>
  </r>
  <r>
    <x v="1"/>
    <x v="1"/>
    <x v="8"/>
    <n v="124.2"/>
    <n v="125.4"/>
    <n v="116.4"/>
    <n v="122.7"/>
    <n v="103.5"/>
    <n v="124.5"/>
    <n v="168.6"/>
    <n v="116.9"/>
    <n v="101.9"/>
    <n v="122.9"/>
    <n v="114.8"/>
    <n v="125.2"/>
    <n v="126.7"/>
    <n v="124.3"/>
    <n v="119.2"/>
    <n v="114.5"/>
    <n v="118.4"/>
    <n v="116.1"/>
    <n v="111.8"/>
    <n v="115.5"/>
    <n v="112.3"/>
    <n v="111.2"/>
    <n v="113.4"/>
    <n v="120"/>
    <n v="110"/>
    <n v="113.6"/>
    <n v="122.59230769230771"/>
    <n v="118.85"/>
    <n v="115.8"/>
    <n v="111.15"/>
    <n v="117.36666666666667"/>
    <n v="119.2"/>
    <n v="-5.8381984987489807E-3"/>
  </r>
  <r>
    <x v="2"/>
    <x v="1"/>
    <x v="8"/>
    <n v="122.9"/>
    <n v="123.5"/>
    <n v="117.3"/>
    <n v="122.7"/>
    <n v="107.9"/>
    <n v="127.3"/>
    <n v="162.1"/>
    <n v="115.6"/>
    <n v="103.8"/>
    <n v="117.6"/>
    <n v="115.8"/>
    <n v="123.8"/>
    <n v="125.8"/>
    <n v="120.8"/>
    <n v="120.7"/>
    <n v="117.2"/>
    <n v="120.1"/>
    <n v="116.1"/>
    <n v="114.3"/>
    <n v="116.1"/>
    <n v="113.7"/>
    <n v="112"/>
    <n v="113.1"/>
    <n v="118.6"/>
    <n v="109.5"/>
    <n v="113.7"/>
    <n v="122.00769230769228"/>
    <n v="116.94999999999999"/>
    <n v="116.1"/>
    <n v="111.6"/>
    <n v="119.33333333333333"/>
    <n v="120.1"/>
    <n v="-1.6625103906899655E-3"/>
  </r>
  <r>
    <x v="0"/>
    <x v="1"/>
    <x v="9"/>
    <n v="122.6"/>
    <n v="122.5"/>
    <n v="118.3"/>
    <n v="123.2"/>
    <n v="110.5"/>
    <n v="128.9"/>
    <n v="155.30000000000001"/>
    <n v="115.5"/>
    <n v="104"/>
    <n v="115.3"/>
    <n v="116.8"/>
    <n v="123.2"/>
    <n v="125.1"/>
    <n v="120"/>
    <n v="122.7"/>
    <n v="120.3"/>
    <n v="122.3"/>
    <n v="0"/>
    <n v="116.4"/>
    <n v="117.5"/>
    <n v="115.3"/>
    <n v="112.6"/>
    <n v="113"/>
    <n v="116.9"/>
    <n v="109.3"/>
    <n v="114"/>
    <n v="121.63076923076922"/>
    <n v="116.5"/>
    <n v="58.75"/>
    <n v="112.3"/>
    <n v="121.76666666666667"/>
    <n v="121"/>
    <n v="8.2712985938787685E-4"/>
  </r>
  <r>
    <x v="1"/>
    <x v="1"/>
    <x v="9"/>
    <n v="124.6"/>
    <n v="126.1"/>
    <n v="117.8"/>
    <n v="123.1"/>
    <n v="103.5"/>
    <n v="123.5"/>
    <n v="159.6"/>
    <n v="117.4"/>
    <n v="101.2"/>
    <n v="123.8"/>
    <n v="115.2"/>
    <n v="125.9"/>
    <n v="125.8"/>
    <n v="124.3"/>
    <n v="119.6"/>
    <n v="114.9"/>
    <n v="118.9"/>
    <n v="116.7"/>
    <n v="112"/>
    <n v="115.8"/>
    <n v="112.6"/>
    <n v="111"/>
    <n v="113.6"/>
    <n v="120.2"/>
    <n v="110.1"/>
    <n v="113.7"/>
    <n v="122.11538461538461"/>
    <n v="118.94999999999999"/>
    <n v="116.25"/>
    <n v="111.35"/>
    <n v="117.8"/>
    <n v="119.1"/>
    <n v="-8.3892617449671583E-4"/>
  </r>
  <r>
    <x v="2"/>
    <x v="1"/>
    <x v="9"/>
    <n v="123.2"/>
    <n v="123.8"/>
    <n v="118.1"/>
    <n v="123.2"/>
    <n v="107.9"/>
    <n v="126.4"/>
    <n v="156.80000000000001"/>
    <n v="116.1"/>
    <n v="103.1"/>
    <n v="118.1"/>
    <n v="116.1"/>
    <n v="124.5"/>
    <n v="125.4"/>
    <n v="121.1"/>
    <n v="121.5"/>
    <n v="118.1"/>
    <n v="121"/>
    <n v="116.7"/>
    <n v="114.7"/>
    <n v="116.7"/>
    <n v="114.3"/>
    <n v="111.8"/>
    <n v="113.3"/>
    <n v="118.8"/>
    <n v="109.6"/>
    <n v="113.9"/>
    <n v="121.74615384615385"/>
    <n v="117.19999999999999"/>
    <n v="116.7"/>
    <n v="111.94999999999999"/>
    <n v="120.2"/>
    <n v="120.1"/>
    <n v="0"/>
  </r>
  <r>
    <x v="0"/>
    <x v="1"/>
    <x v="10"/>
    <n v="122.7"/>
    <n v="122.6"/>
    <n v="119.9"/>
    <n v="124"/>
    <n v="110.5"/>
    <n v="128.80000000000001"/>
    <n v="152"/>
    <n v="116.2"/>
    <n v="103.3"/>
    <n v="115.8"/>
    <n v="116.8"/>
    <n v="124.5"/>
    <n v="124.9"/>
    <n v="120.8"/>
    <n v="123.3"/>
    <n v="120.5"/>
    <n v="122.9"/>
    <n v="0"/>
    <n v="117.3"/>
    <n v="118.1"/>
    <n v="115.9"/>
    <n v="112"/>
    <n v="113.3"/>
    <n v="117.2"/>
    <n v="108.8"/>
    <n v="114.1"/>
    <n v="121.69230769230769"/>
    <n v="117.05"/>
    <n v="59.05"/>
    <n v="112.35"/>
    <n v="122.23333333333335"/>
    <n v="121.1"/>
    <n v="8.2644628099168857E-4"/>
  </r>
  <r>
    <x v="1"/>
    <x v="1"/>
    <x v="10"/>
    <n v="124.5"/>
    <n v="125.6"/>
    <n v="122.7"/>
    <n v="124.6"/>
    <n v="103.2"/>
    <n v="122.2"/>
    <n v="153.19999999999999"/>
    <n v="119.3"/>
    <n v="99.8"/>
    <n v="124.6"/>
    <n v="115.8"/>
    <n v="126.9"/>
    <n v="125.4"/>
    <n v="125.8"/>
    <n v="120.3"/>
    <n v="115.4"/>
    <n v="119.5"/>
    <n v="117.1"/>
    <n v="112.6"/>
    <n v="116.4"/>
    <n v="113"/>
    <n v="109.7"/>
    <n v="114"/>
    <n v="120.3"/>
    <n v="109.6"/>
    <n v="113.4"/>
    <n v="122.13846153846154"/>
    <n v="119.9"/>
    <n v="116.75"/>
    <n v="111.3"/>
    <n v="118.39999999999999"/>
    <n v="119"/>
    <n v="-8.3963056255242918E-4"/>
  </r>
  <r>
    <x v="2"/>
    <x v="1"/>
    <x v="10"/>
    <n v="123.3"/>
    <n v="123.7"/>
    <n v="121"/>
    <n v="124.2"/>
    <n v="107.8"/>
    <n v="125.7"/>
    <n v="152.4"/>
    <n v="117.2"/>
    <n v="102.1"/>
    <n v="118.7"/>
    <n v="116.4"/>
    <n v="125.6"/>
    <n v="125.1"/>
    <n v="122.1"/>
    <n v="122.1"/>
    <n v="118.4"/>
    <n v="121.6"/>
    <n v="117.1"/>
    <n v="115.5"/>
    <n v="117.3"/>
    <n v="114.8"/>
    <n v="110.8"/>
    <n v="113.7"/>
    <n v="119"/>
    <n v="109.1"/>
    <n v="113.8"/>
    <n v="121.78461538461539"/>
    <n v="117.9"/>
    <n v="117.19999999999999"/>
    <n v="111.94999999999999"/>
    <n v="120.7"/>
    <n v="120.1"/>
    <n v="0"/>
  </r>
  <r>
    <x v="0"/>
    <x v="1"/>
    <x v="11"/>
    <n v="122.4"/>
    <n v="122.4"/>
    <n v="121.8"/>
    <n v="124.2"/>
    <n v="110.2"/>
    <n v="128.6"/>
    <n v="140.30000000000001"/>
    <n v="116.3"/>
    <n v="102"/>
    <n v="116"/>
    <n v="117.3"/>
    <n v="124.8"/>
    <n v="123.3"/>
    <n v="121.7"/>
    <n v="123.8"/>
    <n v="120.6"/>
    <n v="123.3"/>
    <n v="0"/>
    <n v="117.4"/>
    <n v="118.2"/>
    <n v="116.2"/>
    <n v="111.5"/>
    <n v="113.3"/>
    <n v="117.7"/>
    <n v="109.4"/>
    <n v="114.2"/>
    <n v="120.73846153846154"/>
    <n v="117.5"/>
    <n v="59.1"/>
    <n v="112.80000000000001"/>
    <n v="122.56666666666666"/>
    <n v="120.3"/>
    <n v="-6.606110652353404E-3"/>
  </r>
  <r>
    <x v="1"/>
    <x v="1"/>
    <x v="11"/>
    <n v="124"/>
    <n v="124.7"/>
    <n v="126.3"/>
    <n v="124.9"/>
    <n v="103"/>
    <n v="122.3"/>
    <n v="141"/>
    <n v="120.1"/>
    <n v="97.8"/>
    <n v="125.4"/>
    <n v="116.1"/>
    <n v="127.6"/>
    <n v="124"/>
    <n v="126.4"/>
    <n v="120.7"/>
    <n v="115.8"/>
    <n v="120"/>
    <n v="116.5"/>
    <n v="113"/>
    <n v="116.8"/>
    <n v="113.2"/>
    <n v="108.8"/>
    <n v="114.3"/>
    <n v="120.7"/>
    <n v="110.4"/>
    <n v="113.4"/>
    <n v="121.32307692307691"/>
    <n v="120.35"/>
    <n v="116.65"/>
    <n v="111.80000000000001"/>
    <n v="118.83333333333333"/>
    <n v="118.4"/>
    <n v="-5.0420168067226417E-3"/>
  </r>
  <r>
    <x v="2"/>
    <x v="1"/>
    <x v="11"/>
    <n v="122.9"/>
    <n v="123.2"/>
    <n v="123.5"/>
    <n v="124.5"/>
    <n v="107.6"/>
    <n v="125.7"/>
    <n v="140.5"/>
    <n v="117.6"/>
    <n v="100.6"/>
    <n v="119.1"/>
    <n v="116.8"/>
    <n v="126.1"/>
    <n v="123.6"/>
    <n v="123"/>
    <n v="122.6"/>
    <n v="118.6"/>
    <n v="122"/>
    <n v="116.5"/>
    <n v="115.7"/>
    <n v="117.5"/>
    <n v="115.1"/>
    <n v="110.1"/>
    <n v="113.9"/>
    <n v="119.5"/>
    <n v="109.8"/>
    <n v="113.8"/>
    <n v="120.89999999999999"/>
    <n v="118.45"/>
    <n v="117"/>
    <n v="112.44999999999999"/>
    <n v="121.06666666666666"/>
    <n v="119.4"/>
    <n v="-5.8284762697750929E-3"/>
  </r>
  <r>
    <x v="0"/>
    <x v="2"/>
    <x v="0"/>
    <n v="123.1"/>
    <n v="123.1"/>
    <n v="122.1"/>
    <n v="124.9"/>
    <n v="111"/>
    <n v="130.4"/>
    <n v="132.30000000000001"/>
    <n v="117.2"/>
    <n v="100.5"/>
    <n v="117.2"/>
    <n v="117.9"/>
    <n v="125.6"/>
    <n v="122.8"/>
    <n v="122.7"/>
    <n v="124.4"/>
    <n v="121.6"/>
    <n v="124"/>
    <n v="0"/>
    <n v="118.4"/>
    <n v="118.9"/>
    <n v="116.6"/>
    <n v="111"/>
    <n v="114"/>
    <n v="118.2"/>
    <n v="110.2"/>
    <n v="114.5"/>
    <n v="120.62307692307692"/>
    <n v="118.35"/>
    <n v="59.45"/>
    <n v="113.4"/>
    <n v="123.33333333333333"/>
    <n v="120.3"/>
    <n v="0"/>
  </r>
  <r>
    <x v="1"/>
    <x v="2"/>
    <x v="0"/>
    <n v="124"/>
    <n v="125.5"/>
    <n v="126.6"/>
    <n v="125.2"/>
    <n v="104.3"/>
    <n v="121.3"/>
    <n v="134.4"/>
    <n v="122.9"/>
    <n v="96.1"/>
    <n v="126.6"/>
    <n v="116.5"/>
    <n v="128"/>
    <n v="123.5"/>
    <n v="127.4"/>
    <n v="121"/>
    <n v="116.1"/>
    <n v="120.2"/>
    <n v="117.3"/>
    <n v="113.4"/>
    <n v="117.2"/>
    <n v="113.7"/>
    <n v="107.9"/>
    <n v="114.6"/>
    <n v="120.8"/>
    <n v="111.4"/>
    <n v="113.4"/>
    <n v="121.14615384615384"/>
    <n v="121"/>
    <n v="117.25"/>
    <n v="112.55000000000001"/>
    <n v="119.10000000000001"/>
    <n v="118.5"/>
    <n v="8.445945945945465E-4"/>
  </r>
  <r>
    <x v="2"/>
    <x v="2"/>
    <x v="0"/>
    <n v="123.4"/>
    <n v="123.9"/>
    <n v="123.8"/>
    <n v="125"/>
    <n v="108.5"/>
    <n v="126.2"/>
    <n v="133"/>
    <n v="119.1"/>
    <n v="99"/>
    <n v="120.3"/>
    <n v="117.3"/>
    <n v="126.7"/>
    <n v="123.1"/>
    <n v="124"/>
    <n v="123.1"/>
    <n v="119.3"/>
    <n v="122.5"/>
    <n v="117.3"/>
    <n v="116.5"/>
    <n v="118.1"/>
    <n v="115.5"/>
    <n v="109.4"/>
    <n v="114.3"/>
    <n v="119.7"/>
    <n v="110.7"/>
    <n v="114"/>
    <n v="120.71538461538461"/>
    <n v="119.15"/>
    <n v="117.69999999999999"/>
    <n v="113.1"/>
    <n v="121.63333333333333"/>
    <n v="119.5"/>
    <n v="8.3752093802340289E-4"/>
  </r>
  <r>
    <x v="0"/>
    <x v="2"/>
    <x v="1"/>
    <n v="123.4"/>
    <n v="124.4"/>
    <n v="122.1"/>
    <n v="125.8"/>
    <n v="111.5"/>
    <n v="129.4"/>
    <n v="128.19999999999999"/>
    <n v="118.8"/>
    <n v="100"/>
    <n v="118.6"/>
    <n v="118.8"/>
    <n v="126.8"/>
    <n v="122.8"/>
    <n v="124.2"/>
    <n v="125.4"/>
    <n v="122.7"/>
    <n v="125"/>
    <n v="0"/>
    <n v="120"/>
    <n v="119.6"/>
    <n v="117.7"/>
    <n v="110.9"/>
    <n v="114.8"/>
    <n v="118.7"/>
    <n v="110.8"/>
    <n v="115"/>
    <n v="120.81538461538459"/>
    <n v="119.5"/>
    <n v="59.8"/>
    <n v="114.25"/>
    <n v="124.36666666666667"/>
    <n v="120.6"/>
    <n v="2.4937655860348892E-3"/>
  </r>
  <r>
    <x v="1"/>
    <x v="2"/>
    <x v="1"/>
    <n v="124.3"/>
    <n v="126.5"/>
    <n v="119.5"/>
    <n v="125.6"/>
    <n v="104.9"/>
    <n v="121.6"/>
    <n v="131.80000000000001"/>
    <n v="125.1"/>
    <n v="95"/>
    <n v="127.7"/>
    <n v="116.8"/>
    <n v="128.6"/>
    <n v="123.7"/>
    <n v="128.1"/>
    <n v="121.3"/>
    <n v="116.5"/>
    <n v="120.6"/>
    <n v="118.1"/>
    <n v="114"/>
    <n v="117.7"/>
    <n v="114.1"/>
    <n v="106.8"/>
    <n v="114.9"/>
    <n v="120.4"/>
    <n v="111.7"/>
    <n v="113.2"/>
    <n v="120.85384615384616"/>
    <n v="121.5"/>
    <n v="117.9"/>
    <n v="112.9"/>
    <n v="119.46666666666665"/>
    <n v="118.7"/>
    <n v="1.6877637130801927E-3"/>
  </r>
  <r>
    <x v="2"/>
    <x v="2"/>
    <x v="1"/>
    <n v="123.7"/>
    <n v="125.1"/>
    <n v="121.1"/>
    <n v="125.7"/>
    <n v="109.1"/>
    <n v="125.8"/>
    <n v="129.4"/>
    <n v="120.9"/>
    <n v="98.3"/>
    <n v="121.6"/>
    <n v="118"/>
    <n v="127.6"/>
    <n v="123.1"/>
    <n v="125.2"/>
    <n v="123.8"/>
    <n v="120.1"/>
    <n v="123.3"/>
    <n v="118.1"/>
    <n v="117.7"/>
    <n v="118.7"/>
    <n v="116.3"/>
    <n v="108.7"/>
    <n v="114.9"/>
    <n v="119.7"/>
    <n v="111.2"/>
    <n v="114.1"/>
    <n v="120.72307692307689"/>
    <n v="120.05000000000001"/>
    <n v="118.4"/>
    <n v="113.75"/>
    <n v="122.39999999999999"/>
    <n v="119.7"/>
    <n v="1.6736401673640405E-3"/>
  </r>
  <r>
    <x v="0"/>
    <x v="2"/>
    <x v="2"/>
    <n v="123.3"/>
    <n v="124.7"/>
    <n v="118.9"/>
    <n v="126"/>
    <n v="111.8"/>
    <n v="130.9"/>
    <n v="128"/>
    <n v="119.9"/>
    <n v="98.9"/>
    <n v="119.4"/>
    <n v="118.9"/>
    <n v="127.7"/>
    <n v="123.1"/>
    <n v="124.7"/>
    <n v="126"/>
    <n v="122.9"/>
    <n v="125.5"/>
    <n v="0"/>
    <n v="120.6"/>
    <n v="120.2"/>
    <n v="118.2"/>
    <n v="111.6"/>
    <n v="115.5"/>
    <n v="119.4"/>
    <n v="110.8"/>
    <n v="115.5"/>
    <n v="120.88461538461539"/>
    <n v="120.1"/>
    <n v="60.1"/>
    <n v="114.5"/>
    <n v="124.8"/>
    <n v="121.1"/>
    <n v="4.1459369817578775E-3"/>
  </r>
  <r>
    <x v="1"/>
    <x v="2"/>
    <x v="2"/>
    <n v="124"/>
    <n v="126.7"/>
    <n v="113.5"/>
    <n v="125.9"/>
    <n v="104.8"/>
    <n v="123.8"/>
    <n v="131.4"/>
    <n v="127.2"/>
    <n v="93.2"/>
    <n v="127.4"/>
    <n v="117"/>
    <n v="129.19999999999999"/>
    <n v="123.9"/>
    <n v="128.80000000000001"/>
    <n v="121.7"/>
    <n v="116.9"/>
    <n v="120.9"/>
    <n v="118.6"/>
    <n v="114.4"/>
    <n v="118"/>
    <n v="114.3"/>
    <n v="108.4"/>
    <n v="115.4"/>
    <n v="120.6"/>
    <n v="111.3"/>
    <n v="113.8"/>
    <n v="120.61538461538463"/>
    <n v="122.10000000000001"/>
    <n v="118.3"/>
    <n v="112.8"/>
    <n v="119.83333333333333"/>
    <n v="119.1"/>
    <n v="3.3698399326031296E-3"/>
  </r>
  <r>
    <x v="2"/>
    <x v="2"/>
    <x v="2"/>
    <n v="123.5"/>
    <n v="125.4"/>
    <n v="116.8"/>
    <n v="126"/>
    <n v="109.2"/>
    <n v="127.6"/>
    <n v="129.19999999999999"/>
    <n v="122.4"/>
    <n v="97"/>
    <n v="122.1"/>
    <n v="118.1"/>
    <n v="128.4"/>
    <n v="123.4"/>
    <n v="125.8"/>
    <n v="124.3"/>
    <n v="120.4"/>
    <n v="123.7"/>
    <n v="118.6"/>
    <n v="118.3"/>
    <n v="119.2"/>
    <n v="116.7"/>
    <n v="109.9"/>
    <n v="115.4"/>
    <n v="120.1"/>
    <n v="111"/>
    <n v="114.7"/>
    <n v="120.69999999999999"/>
    <n v="120.6"/>
    <n v="118.9"/>
    <n v="113.85"/>
    <n v="122.8"/>
    <n v="120.2"/>
    <n v="4.1771094402673348E-3"/>
  </r>
  <r>
    <x v="0"/>
    <x v="2"/>
    <x v="3"/>
    <n v="123.3"/>
    <n v="125.5"/>
    <n v="117.2"/>
    <n v="126.8"/>
    <n v="111.9"/>
    <n v="134.19999999999999"/>
    <n v="127.5"/>
    <n v="121.5"/>
    <n v="97.8"/>
    <n v="119.8"/>
    <n v="119.4"/>
    <n v="128.69999999999999"/>
    <n v="123.6"/>
    <n v="125.7"/>
    <n v="126.4"/>
    <n v="123.3"/>
    <n v="126"/>
    <n v="0"/>
    <n v="121.2"/>
    <n v="120.9"/>
    <n v="118.6"/>
    <n v="111.9"/>
    <n v="116.2"/>
    <n v="119.9"/>
    <n v="111.6"/>
    <n v="116"/>
    <n v="121.32307692307693"/>
    <n v="120.95"/>
    <n v="60.45"/>
    <n v="115.1"/>
    <n v="125.23333333333333"/>
    <n v="121.5"/>
    <n v="3.3030553261767606E-3"/>
  </r>
  <r>
    <x v="1"/>
    <x v="2"/>
    <x v="3"/>
    <n v="123.8"/>
    <n v="128.19999999999999"/>
    <n v="110"/>
    <n v="126.3"/>
    <n v="104.5"/>
    <n v="130.6"/>
    <n v="130.80000000000001"/>
    <n v="131.30000000000001"/>
    <n v="91.6"/>
    <n v="127.7"/>
    <n v="117.2"/>
    <n v="129.5"/>
    <n v="124.6"/>
    <n v="130.1"/>
    <n v="122.1"/>
    <n v="117.2"/>
    <n v="121.3"/>
    <n v="119.2"/>
    <n v="114.7"/>
    <n v="118.4"/>
    <n v="114.6"/>
    <n v="108.4"/>
    <n v="115.6"/>
    <n v="121.7"/>
    <n v="111.8"/>
    <n v="114.2"/>
    <n v="121.23846153846154"/>
    <n v="122.85"/>
    <n v="118.80000000000001"/>
    <n v="113.19999999999999"/>
    <n v="120.2"/>
    <n v="119.7"/>
    <n v="5.0377833753149333E-3"/>
  </r>
  <r>
    <x v="2"/>
    <x v="2"/>
    <x v="3"/>
    <n v="123.5"/>
    <n v="126.4"/>
    <n v="114.4"/>
    <n v="126.6"/>
    <n v="109.2"/>
    <n v="132.5"/>
    <n v="128.6"/>
    <n v="124.8"/>
    <n v="95.7"/>
    <n v="122.4"/>
    <n v="118.5"/>
    <n v="129.1"/>
    <n v="124"/>
    <n v="126.9"/>
    <n v="124.7"/>
    <n v="120.8"/>
    <n v="124.1"/>
    <n v="119.2"/>
    <n v="118.7"/>
    <n v="119.7"/>
    <n v="117.1"/>
    <n v="110.1"/>
    <n v="115.9"/>
    <n v="121"/>
    <n v="111.7"/>
    <n v="115.1"/>
    <n v="121.20769230769231"/>
    <n v="121.4"/>
    <n v="119.45"/>
    <n v="114.4"/>
    <n v="123.2"/>
    <n v="120.7"/>
    <n v="4.1597337770382693E-3"/>
  </r>
  <r>
    <x v="0"/>
    <x v="2"/>
    <x v="4"/>
    <n v="123.5"/>
    <n v="127.1"/>
    <n v="117.3"/>
    <n v="127.7"/>
    <n v="112.5"/>
    <n v="134.1"/>
    <n v="128.5"/>
    <n v="124.3"/>
    <n v="97.6"/>
    <n v="120.7"/>
    <n v="120.2"/>
    <n v="129.80000000000001"/>
    <n v="124.4"/>
    <n v="126.7"/>
    <n v="127.3"/>
    <n v="124.1"/>
    <n v="126.8"/>
    <n v="0"/>
    <n v="121.9"/>
    <n v="121.5"/>
    <n v="119.4"/>
    <n v="113.3"/>
    <n v="116.7"/>
    <n v="120.5"/>
    <n v="112.3"/>
    <n v="116.9"/>
    <n v="122.13076923076923"/>
    <n v="121.7"/>
    <n v="60.75"/>
    <n v="115.85"/>
    <n v="126.06666666666666"/>
    <n v="122.4"/>
    <n v="7.4074074074074545E-3"/>
  </r>
  <r>
    <x v="1"/>
    <x v="2"/>
    <x v="4"/>
    <n v="123.8"/>
    <n v="129.69999999999999"/>
    <n v="111.3"/>
    <n v="126.6"/>
    <n v="105.2"/>
    <n v="130.80000000000001"/>
    <n v="135.6"/>
    <n v="142.6"/>
    <n v="90.8"/>
    <n v="128.80000000000001"/>
    <n v="117.7"/>
    <n v="129.9"/>
    <n v="126.1"/>
    <n v="131.30000000000001"/>
    <n v="122.4"/>
    <n v="117.4"/>
    <n v="121.6"/>
    <n v="119.6"/>
    <n v="114.9"/>
    <n v="118.7"/>
    <n v="114.9"/>
    <n v="110.8"/>
    <n v="116"/>
    <n v="122"/>
    <n v="112.4"/>
    <n v="115.2"/>
    <n v="122.9923076923077"/>
    <n v="123.65"/>
    <n v="119.15"/>
    <n v="113.65"/>
    <n v="120.46666666666665"/>
    <n v="120.7"/>
    <n v="8.3542188805346695E-3"/>
  </r>
  <r>
    <x v="2"/>
    <x v="2"/>
    <x v="4"/>
    <n v="123.6"/>
    <n v="128"/>
    <n v="115"/>
    <n v="127.3"/>
    <n v="109.8"/>
    <n v="132.6"/>
    <n v="130.9"/>
    <n v="130.5"/>
    <n v="95.3"/>
    <n v="123.4"/>
    <n v="119.2"/>
    <n v="129.80000000000001"/>
    <n v="125"/>
    <n v="127.9"/>
    <n v="125.4"/>
    <n v="121.3"/>
    <n v="124.7"/>
    <n v="119.6"/>
    <n v="119.2"/>
    <n v="120.2"/>
    <n v="117.7"/>
    <n v="112"/>
    <n v="116.3"/>
    <n v="121.4"/>
    <n v="112.3"/>
    <n v="116.1"/>
    <n v="122.33846153846154"/>
    <n v="122.1"/>
    <n v="119.9"/>
    <n v="115"/>
    <n v="123.8"/>
    <n v="121.6"/>
    <n v="7.4565037282517937E-3"/>
  </r>
  <r>
    <x v="0"/>
    <x v="2"/>
    <x v="5"/>
    <n v="124.1"/>
    <n v="130.4"/>
    <n v="122.1"/>
    <n v="128.69999999999999"/>
    <n v="114.1"/>
    <n v="133.19999999999999"/>
    <n v="135.19999999999999"/>
    <n v="131.9"/>
    <n v="96.3"/>
    <n v="123"/>
    <n v="121.1"/>
    <n v="131.19999999999999"/>
    <n v="126.6"/>
    <n v="128.19999999999999"/>
    <n v="128.4"/>
    <n v="125.1"/>
    <n v="128"/>
    <n v="0"/>
    <n v="122.6"/>
    <n v="122.8"/>
    <n v="120.4"/>
    <n v="114.2"/>
    <n v="117.9"/>
    <n v="122"/>
    <n v="113"/>
    <n v="117.9"/>
    <n v="124.45384615384614"/>
    <n v="123.05"/>
    <n v="61.4"/>
    <n v="116.7"/>
    <n v="127.16666666666667"/>
    <n v="124.1"/>
    <n v="1.3888888888888796E-2"/>
  </r>
  <r>
    <x v="1"/>
    <x v="2"/>
    <x v="5"/>
    <n v="123.6"/>
    <n v="134.4"/>
    <n v="120.9"/>
    <n v="127.3"/>
    <n v="106"/>
    <n v="132.30000000000001"/>
    <n v="146.69999999999999"/>
    <n v="148.1"/>
    <n v="89.8"/>
    <n v="130.5"/>
    <n v="118"/>
    <n v="130.5"/>
    <n v="128.5"/>
    <n v="132.1"/>
    <n v="123.2"/>
    <n v="117.6"/>
    <n v="122.3"/>
    <n v="119"/>
    <n v="115.1"/>
    <n v="119.2"/>
    <n v="115.4"/>
    <n v="111.7"/>
    <n v="116.2"/>
    <n v="123.8"/>
    <n v="112.5"/>
    <n v="116"/>
    <n v="125.89230769230768"/>
    <n v="124.15"/>
    <n v="119.1"/>
    <n v="113.95"/>
    <n v="121.03333333333335"/>
    <n v="121.7"/>
    <n v="8.2850041425020712E-3"/>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4.88461538461539"/>
    <n v="123.05"/>
    <n v="120.05"/>
    <n v="115.65"/>
    <n v="124.7"/>
    <n v="123"/>
    <n v="1.151315789473689E-2"/>
  </r>
  <r>
    <x v="0"/>
    <x v="2"/>
    <x v="6"/>
    <n v="124"/>
    <n v="131.5"/>
    <n v="122"/>
    <n v="128.69999999999999"/>
    <n v="113.5"/>
    <n v="133.30000000000001"/>
    <n v="140.80000000000001"/>
    <n v="133.80000000000001"/>
    <n v="94.1"/>
    <n v="123.4"/>
    <n v="121"/>
    <n v="131.69999999999999"/>
    <n v="127.5"/>
    <n v="129.4"/>
    <n v="128.80000000000001"/>
    <n v="125.5"/>
    <n v="128.30000000000001"/>
    <n v="0"/>
    <n v="123"/>
    <n v="123"/>
    <n v="120.8"/>
    <n v="114.1"/>
    <n v="118"/>
    <n v="122.9"/>
    <n v="112.7"/>
    <n v="118.1"/>
    <n v="125.02307692307691"/>
    <n v="123.7"/>
    <n v="61.5"/>
    <n v="116.75"/>
    <n v="127.53333333333335"/>
    <n v="124.7"/>
    <n v="4.8348106365834692E-3"/>
  </r>
  <r>
    <x v="1"/>
    <x v="2"/>
    <x v="6"/>
    <n v="123.2"/>
    <n v="134.30000000000001"/>
    <n v="119.5"/>
    <n v="127.7"/>
    <n v="106.3"/>
    <n v="132.80000000000001"/>
    <n v="153.5"/>
    <n v="149.5"/>
    <n v="85.7"/>
    <n v="131.5"/>
    <n v="118.3"/>
    <n v="131.1"/>
    <n v="129.5"/>
    <n v="133.1"/>
    <n v="123.5"/>
    <n v="117.9"/>
    <n v="122.7"/>
    <n v="119.9"/>
    <n v="115.3"/>
    <n v="119.5"/>
    <n v="116"/>
    <n v="111.5"/>
    <n v="116.6"/>
    <n v="125.4"/>
    <n v="111.7"/>
    <n v="116.3"/>
    <n v="126.37692307692306"/>
    <n v="124.85"/>
    <n v="119.7"/>
    <n v="113.85"/>
    <n v="121.36666666666667"/>
    <n v="122.4"/>
    <n v="5.7518488085456275E-3"/>
  </r>
  <r>
    <x v="2"/>
    <x v="2"/>
    <x v="6"/>
    <n v="123.7"/>
    <n v="132.5"/>
    <n v="121"/>
    <n v="128.30000000000001"/>
    <n v="110.9"/>
    <n v="133.1"/>
    <n v="145.1"/>
    <n v="139.1"/>
    <n v="91.3"/>
    <n v="126.1"/>
    <n v="119.9"/>
    <n v="131.4"/>
    <n v="128.19999999999999"/>
    <n v="130.4"/>
    <n v="126.7"/>
    <n v="122.3"/>
    <n v="126.1"/>
    <n v="119.9"/>
    <n v="120.1"/>
    <n v="121.3"/>
    <n v="119"/>
    <n v="112.7"/>
    <n v="117.2"/>
    <n v="124.4"/>
    <n v="112.3"/>
    <n v="117.2"/>
    <n v="125.43076923076924"/>
    <n v="123.80000000000001"/>
    <n v="120.6"/>
    <n v="115.65"/>
    <n v="125.03333333333335"/>
    <n v="123.6"/>
    <n v="4.8780487804877589E-3"/>
  </r>
  <r>
    <x v="0"/>
    <x v="2"/>
    <x v="7"/>
    <n v="124.7"/>
    <n v="131.30000000000001"/>
    <n v="121.3"/>
    <n v="128.80000000000001"/>
    <n v="114"/>
    <n v="134.19999999999999"/>
    <n v="153.6"/>
    <n v="137.9"/>
    <n v="93.1"/>
    <n v="123.9"/>
    <n v="121.5"/>
    <n v="132.5"/>
    <n v="129.80000000000001"/>
    <n v="130.1"/>
    <n v="129.5"/>
    <n v="126.3"/>
    <n v="129"/>
    <n v="0"/>
    <n v="123.8"/>
    <n v="123.7"/>
    <n v="121.1"/>
    <n v="113.6"/>
    <n v="118.5"/>
    <n v="123.6"/>
    <n v="112.5"/>
    <n v="118.2"/>
    <n v="126.66153846153846"/>
    <n v="124.3"/>
    <n v="61.85"/>
    <n v="116.8"/>
    <n v="128.26666666666668"/>
    <n v="126.1"/>
    <n v="1.1226944667201215E-2"/>
  </r>
  <r>
    <x v="1"/>
    <x v="2"/>
    <x v="7"/>
    <n v="123.1"/>
    <n v="131.69999999999999"/>
    <n v="118.1"/>
    <n v="128"/>
    <n v="106.8"/>
    <n v="130.1"/>
    <n v="165.5"/>
    <n v="156"/>
    <n v="85.3"/>
    <n v="132.69999999999999"/>
    <n v="118.8"/>
    <n v="131.69999999999999"/>
    <n v="131.1"/>
    <n v="134.19999999999999"/>
    <n v="123.7"/>
    <n v="118.2"/>
    <n v="122.9"/>
    <n v="120.9"/>
    <n v="115.3"/>
    <n v="120"/>
    <n v="116.6"/>
    <n v="109.9"/>
    <n v="117.2"/>
    <n v="126.2"/>
    <n v="112"/>
    <n v="116.2"/>
    <n v="127.6076923076923"/>
    <n v="125.69999999999999"/>
    <n v="120.45"/>
    <n v="114.3"/>
    <n v="121.60000000000001"/>
    <n v="123.2"/>
    <n v="6.5359477124182774E-3"/>
  </r>
  <r>
    <x v="2"/>
    <x v="2"/>
    <x v="7"/>
    <n v="124.2"/>
    <n v="131.4"/>
    <n v="120.1"/>
    <n v="128.5"/>
    <n v="111.4"/>
    <n v="132.30000000000001"/>
    <n v="157.6"/>
    <n v="144"/>
    <n v="90.5"/>
    <n v="126.8"/>
    <n v="120.4"/>
    <n v="132.1"/>
    <n v="130.30000000000001"/>
    <n v="131.19999999999999"/>
    <n v="127.2"/>
    <n v="122.9"/>
    <n v="126.6"/>
    <n v="120.9"/>
    <n v="120.6"/>
    <n v="122"/>
    <n v="119.4"/>
    <n v="111.7"/>
    <n v="117.8"/>
    <n v="125.1"/>
    <n v="112.3"/>
    <n v="117.2"/>
    <n v="126.89230769230768"/>
    <n v="124.5"/>
    <n v="121.45"/>
    <n v="115.85"/>
    <n v="125.56666666666668"/>
    <n v="124.8"/>
    <n v="9.7087378640776933E-3"/>
  </r>
  <r>
    <x v="0"/>
    <x v="2"/>
    <x v="8"/>
    <n v="125.1"/>
    <n v="131.1"/>
    <n v="120.7"/>
    <n v="129.19999999999999"/>
    <n v="114.7"/>
    <n v="132.30000000000001"/>
    <n v="158.9"/>
    <n v="142.1"/>
    <n v="92.5"/>
    <n v="125.4"/>
    <n v="121.9"/>
    <n v="132.69999999999999"/>
    <n v="131"/>
    <n v="131"/>
    <n v="130.4"/>
    <n v="126.8"/>
    <n v="129.9"/>
    <n v="0"/>
    <n v="123.7"/>
    <n v="124.5"/>
    <n v="121.4"/>
    <n v="113.8"/>
    <n v="119.6"/>
    <n v="124.5"/>
    <n v="113.7"/>
    <n v="118.8"/>
    <n v="127.50769230769232"/>
    <n v="125.3"/>
    <n v="62.25"/>
    <n v="117.55000000000001"/>
    <n v="129.03333333333333"/>
    <n v="127"/>
    <n v="7.1371927042030592E-3"/>
  </r>
  <r>
    <x v="1"/>
    <x v="2"/>
    <x v="8"/>
    <n v="123.4"/>
    <n v="129"/>
    <n v="115.6"/>
    <n v="128.30000000000001"/>
    <n v="107"/>
    <n v="124"/>
    <n v="168.5"/>
    <n v="165.4"/>
    <n v="86.3"/>
    <n v="134.4"/>
    <n v="119.1"/>
    <n v="132.30000000000001"/>
    <n v="131.5"/>
    <n v="134.69999999999999"/>
    <n v="124"/>
    <n v="118.6"/>
    <n v="123.2"/>
    <n v="121.6"/>
    <n v="115.1"/>
    <n v="120.4"/>
    <n v="117.1"/>
    <n v="109.1"/>
    <n v="117.3"/>
    <n v="126.5"/>
    <n v="112.9"/>
    <n v="116.2"/>
    <n v="128.06153846153845"/>
    <n v="126"/>
    <n v="121"/>
    <n v="115"/>
    <n v="121.93333333333334"/>
    <n v="123.5"/>
    <n v="2.435064935064912E-3"/>
  </r>
  <r>
    <x v="2"/>
    <x v="2"/>
    <x v="8"/>
    <n v="124.6"/>
    <n v="130.4"/>
    <n v="118.7"/>
    <n v="128.9"/>
    <n v="111.9"/>
    <n v="128.4"/>
    <n v="162.19999999999999"/>
    <n v="150"/>
    <n v="90.4"/>
    <n v="128.4"/>
    <n v="120.7"/>
    <n v="132.5"/>
    <n v="131.19999999999999"/>
    <n v="132"/>
    <n v="127.9"/>
    <n v="123.4"/>
    <n v="127.2"/>
    <n v="121.6"/>
    <n v="120.4"/>
    <n v="122.6"/>
    <n v="119.8"/>
    <n v="111.3"/>
    <n v="118.3"/>
    <n v="125.7"/>
    <n v="113.4"/>
    <n v="117.5"/>
    <n v="127.56153846153848"/>
    <n v="125.15"/>
    <n v="122.1"/>
    <n v="116.6"/>
    <n v="126.16666666666667"/>
    <n v="125.4"/>
    <n v="4.8076923076923765E-3"/>
  </r>
  <r>
    <x v="0"/>
    <x v="2"/>
    <x v="9"/>
    <n v="125.6"/>
    <n v="130.4"/>
    <n v="120.8"/>
    <n v="129.4"/>
    <n v="115.8"/>
    <n v="133.19999999999999"/>
    <n v="157.69999999999999"/>
    <n v="154.19999999999999"/>
    <n v="93.7"/>
    <n v="126.6"/>
    <n v="122.3"/>
    <n v="133.1"/>
    <n v="131.80000000000001"/>
    <n v="131.5"/>
    <n v="131.1"/>
    <n v="127.3"/>
    <n v="130.6"/>
    <n v="0"/>
    <n v="124.4"/>
    <n v="125.1"/>
    <n v="122"/>
    <n v="113.8"/>
    <n v="120.1"/>
    <n v="125.1"/>
    <n v="114.2"/>
    <n v="119.2"/>
    <n v="128.8153846153846"/>
    <n v="125.8"/>
    <n v="62.55"/>
    <n v="118.1"/>
    <n v="129.66666666666666"/>
    <n v="127.7"/>
    <n v="5.5118110236220697E-3"/>
  </r>
  <r>
    <x v="1"/>
    <x v="2"/>
    <x v="9"/>
    <n v="123.6"/>
    <n v="128.6"/>
    <n v="115.9"/>
    <n v="128.5"/>
    <n v="109"/>
    <n v="124.1"/>
    <n v="165.8"/>
    <n v="187.2"/>
    <n v="89.4"/>
    <n v="135.80000000000001"/>
    <n v="119.4"/>
    <n v="132.9"/>
    <n v="132.6"/>
    <n v="135.30000000000001"/>
    <n v="124.4"/>
    <n v="118.8"/>
    <n v="123.6"/>
    <n v="122.4"/>
    <n v="114.9"/>
    <n v="120.7"/>
    <n v="117.7"/>
    <n v="109.3"/>
    <n v="117.7"/>
    <n v="126.5"/>
    <n v="113.5"/>
    <n v="116.5"/>
    <n v="130.21538461538464"/>
    <n v="126.5"/>
    <n v="121.55000000000001"/>
    <n v="115.6"/>
    <n v="122.26666666666665"/>
    <n v="124.2"/>
    <n v="5.6680161943320068E-3"/>
  </r>
  <r>
    <x v="2"/>
    <x v="2"/>
    <x v="9"/>
    <n v="125"/>
    <n v="129.80000000000001"/>
    <n v="118.9"/>
    <n v="129.1"/>
    <n v="113.3"/>
    <n v="129"/>
    <n v="160.4"/>
    <n v="165.3"/>
    <n v="92.3"/>
    <n v="129.69999999999999"/>
    <n v="121.1"/>
    <n v="133"/>
    <n v="132.1"/>
    <n v="132.5"/>
    <n v="128.5"/>
    <n v="123.8"/>
    <n v="127.8"/>
    <n v="122.4"/>
    <n v="120.8"/>
    <n v="123"/>
    <n v="120.4"/>
    <n v="111.4"/>
    <n v="118.7"/>
    <n v="125.9"/>
    <n v="113.9"/>
    <n v="117.9"/>
    <n v="129.15384615384613"/>
    <n v="125.6"/>
    <n v="122.7"/>
    <n v="117.15"/>
    <n v="126.7"/>
    <n v="126.1"/>
    <n v="5.5821371610844384E-3"/>
  </r>
  <r>
    <x v="0"/>
    <x v="2"/>
    <x v="10"/>
    <n v="126.1"/>
    <n v="130.6"/>
    <n v="121.7"/>
    <n v="129.5"/>
    <n v="117.8"/>
    <n v="132.1"/>
    <n v="155.19999999999999"/>
    <n v="160.80000000000001"/>
    <n v="94.5"/>
    <n v="128.30000000000001"/>
    <n v="123.1"/>
    <n v="134.19999999999999"/>
    <n v="132.4"/>
    <n v="132.19999999999999"/>
    <n v="132.1"/>
    <n v="128.19999999999999"/>
    <n v="131.5"/>
    <n v="0"/>
    <n v="125.6"/>
    <n v="125.6"/>
    <n v="122.6"/>
    <n v="114"/>
    <n v="120.9"/>
    <n v="125.8"/>
    <n v="114.2"/>
    <n v="119.6"/>
    <n v="129.71538461538461"/>
    <n v="126.55"/>
    <n v="62.8"/>
    <n v="118.4"/>
    <n v="130.6"/>
    <n v="128.30000000000001"/>
    <n v="4.6985121378230891E-3"/>
  </r>
  <r>
    <x v="1"/>
    <x v="2"/>
    <x v="10"/>
    <n v="124"/>
    <n v="129.80000000000001"/>
    <n v="121.5"/>
    <n v="128.6"/>
    <n v="110"/>
    <n v="123.7"/>
    <n v="164.6"/>
    <n v="191.6"/>
    <n v="90.8"/>
    <n v="137.1"/>
    <n v="119.8"/>
    <n v="133.69999999999999"/>
    <n v="133.30000000000001"/>
    <n v="137.6"/>
    <n v="125"/>
    <n v="119.3"/>
    <n v="124.2"/>
    <n v="122.9"/>
    <n v="115.1"/>
    <n v="121"/>
    <n v="118.1"/>
    <n v="109.3"/>
    <n v="117.9"/>
    <n v="126.6"/>
    <n v="113.3"/>
    <n v="116.6"/>
    <n v="131.42307692307691"/>
    <n v="127.75"/>
    <n v="121.95"/>
    <n v="115.69999999999999"/>
    <n v="122.83333333333333"/>
    <n v="124.6"/>
    <n v="3.2206119162640216E-3"/>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30.16153846153844"/>
    <n v="126.4"/>
    <n v="123.15"/>
    <n v="117.35"/>
    <n v="127.46666666666665"/>
    <n v="126.6"/>
    <n v="3.9651070578905628E-3"/>
  </r>
  <r>
    <x v="0"/>
    <x v="2"/>
    <x v="11"/>
    <n v="126.3"/>
    <n v="131.30000000000001"/>
    <n v="123.3"/>
    <n v="129.80000000000001"/>
    <n v="118.3"/>
    <n v="131.6"/>
    <n v="145.5"/>
    <n v="162.1"/>
    <n v="95.4"/>
    <n v="128.9"/>
    <n v="123.3"/>
    <n v="135.1"/>
    <n v="131.4"/>
    <n v="133.1"/>
    <n v="132.5"/>
    <n v="128.5"/>
    <n v="131.9"/>
    <n v="0"/>
    <n v="125.7"/>
    <n v="126"/>
    <n v="123.1"/>
    <n v="114"/>
    <n v="121.6"/>
    <n v="125.6"/>
    <n v="114.1"/>
    <n v="119.8"/>
    <n v="129.40769230769232"/>
    <n v="127.35"/>
    <n v="63"/>
    <n v="118.6"/>
    <n v="130.96666666666667"/>
    <n v="127.9"/>
    <n v="-3.1176929072486799E-3"/>
  </r>
  <r>
    <x v="1"/>
    <x v="2"/>
    <x v="11"/>
    <n v="124.3"/>
    <n v="131.69999999999999"/>
    <n v="127.1"/>
    <n v="128.6"/>
    <n v="110"/>
    <n v="120.8"/>
    <n v="149"/>
    <n v="190.1"/>
    <n v="92.7"/>
    <n v="138.6"/>
    <n v="120.2"/>
    <n v="134.19999999999999"/>
    <n v="131.5"/>
    <n v="138.19999999999999"/>
    <n v="125.4"/>
    <n v="119.5"/>
    <n v="124.5"/>
    <n v="122.4"/>
    <n v="116"/>
    <n v="121"/>
    <n v="118.6"/>
    <n v="109.3"/>
    <n v="118.1"/>
    <n v="126.6"/>
    <n v="113.2"/>
    <n v="116.7"/>
    <n v="130.67692307692306"/>
    <n v="128.14999999999998"/>
    <n v="121.7"/>
    <n v="115.9"/>
    <n v="123.13333333333333"/>
    <n v="124"/>
    <n v="-4.8154093097912869E-3"/>
  </r>
  <r>
    <x v="2"/>
    <x v="2"/>
    <x v="11"/>
    <n v="125.7"/>
    <n v="131.4"/>
    <n v="124.8"/>
    <n v="129.4"/>
    <n v="115.3"/>
    <n v="126.6"/>
    <n v="146.69999999999999"/>
    <n v="171.5"/>
    <n v="94.5"/>
    <n v="132.1"/>
    <n v="122"/>
    <n v="134.69999999999999"/>
    <n v="131.4"/>
    <n v="134.5"/>
    <n v="129.69999999999999"/>
    <n v="124.8"/>
    <n v="129"/>
    <n v="122.4"/>
    <n v="122"/>
    <n v="123.6"/>
    <n v="121.4"/>
    <n v="111.5"/>
    <n v="119.6"/>
    <n v="126.2"/>
    <n v="113.7"/>
    <n v="118.3"/>
    <n v="129.70000000000002"/>
    <n v="127.05"/>
    <n v="123"/>
    <n v="117.55000000000001"/>
    <n v="127.83333333333333"/>
    <n v="126.1"/>
    <n v="-3.9494470774091633E-3"/>
  </r>
  <r>
    <x v="0"/>
    <x v="3"/>
    <x v="0"/>
    <n v="126.8"/>
    <n v="133.19999999999999"/>
    <n v="126.5"/>
    <n v="130.30000000000001"/>
    <n v="118.9"/>
    <n v="131.6"/>
    <n v="140.1"/>
    <n v="163.80000000000001"/>
    <n v="97.7"/>
    <n v="129.6"/>
    <n v="124.3"/>
    <n v="135.9"/>
    <n v="131.4"/>
    <n v="133.6"/>
    <n v="133.19999999999999"/>
    <n v="128.9"/>
    <n v="132.6"/>
    <n v="0"/>
    <n v="126.2"/>
    <n v="126.6"/>
    <n v="123.7"/>
    <n v="113.6"/>
    <n v="121.4"/>
    <n v="126.2"/>
    <n v="114.9"/>
    <n v="120.1"/>
    <n v="130.00769230769231"/>
    <n v="127.5"/>
    <n v="63.3"/>
    <n v="119.30000000000001"/>
    <n v="131.56666666666669"/>
    <n v="128.1"/>
    <n v="1.5637216575448681E-3"/>
  </r>
  <r>
    <x v="1"/>
    <x v="3"/>
    <x v="0"/>
    <n v="124.7"/>
    <n v="135.9"/>
    <n v="132"/>
    <n v="129.19999999999999"/>
    <n v="109.7"/>
    <n v="119"/>
    <n v="144.1"/>
    <n v="184.2"/>
    <n v="96.7"/>
    <n v="139.5"/>
    <n v="120.5"/>
    <n v="134.69999999999999"/>
    <n v="131.19999999999999"/>
    <n v="139.5"/>
    <n v="125.8"/>
    <n v="119.8"/>
    <n v="124.9"/>
    <n v="123.4"/>
    <n v="116.9"/>
    <n v="121.6"/>
    <n v="119.1"/>
    <n v="108.9"/>
    <n v="118.5"/>
    <n v="126.4"/>
    <n v="114"/>
    <n v="116.8"/>
    <n v="130.87692307692308"/>
    <n v="129"/>
    <n v="122.5"/>
    <n v="116.55"/>
    <n v="123.5"/>
    <n v="124.2"/>
    <n v="1.6129032258064746E-3"/>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30.13076923076923"/>
    <n v="127.5"/>
    <n v="123.80000000000001"/>
    <n v="118.25"/>
    <n v="128.29999999999998"/>
    <n v="126.3"/>
    <n v="1.5860428231562478E-3"/>
  </r>
  <r>
    <x v="0"/>
    <x v="3"/>
    <x v="1"/>
    <n v="127.1"/>
    <n v="133.69999999999999"/>
    <n v="127.7"/>
    <n v="130.69999999999999"/>
    <n v="118.5"/>
    <n v="130.4"/>
    <n v="130.9"/>
    <n v="162.80000000000001"/>
    <n v="98.7"/>
    <n v="130.6"/>
    <n v="124.8"/>
    <n v="136.4"/>
    <n v="130.30000000000001"/>
    <n v="134.4"/>
    <n v="133.9"/>
    <n v="129.80000000000001"/>
    <n v="133.4"/>
    <n v="0"/>
    <n v="127.5"/>
    <n v="127.1"/>
    <n v="124.3"/>
    <n v="113.9"/>
    <n v="122.3"/>
    <n v="127.1"/>
    <n v="116.8"/>
    <n v="120.9"/>
    <n v="129.43076923076922"/>
    <n v="128.35"/>
    <n v="63.55"/>
    <n v="120.55"/>
    <n v="132.36666666666667"/>
    <n v="127.9"/>
    <n v="-1.5612802498047513E-3"/>
  </r>
  <r>
    <x v="1"/>
    <x v="3"/>
    <x v="1"/>
    <n v="124.8"/>
    <n v="135.1"/>
    <n v="130.30000000000001"/>
    <n v="129.6"/>
    <n v="108.4"/>
    <n v="118.6"/>
    <n v="129.19999999999999"/>
    <n v="176.4"/>
    <n v="99.1"/>
    <n v="139.69999999999999"/>
    <n v="120.6"/>
    <n v="135.19999999999999"/>
    <n v="129.1"/>
    <n v="140"/>
    <n v="126.2"/>
    <n v="120.1"/>
    <n v="125.3"/>
    <n v="124.4"/>
    <n v="116"/>
    <n v="121.8"/>
    <n v="119.5"/>
    <n v="109.1"/>
    <n v="118.8"/>
    <n v="126.3"/>
    <n v="116.2"/>
    <n v="117.2"/>
    <n v="128.93076923076922"/>
    <n v="129.4"/>
    <n v="123.1"/>
    <n v="117.85"/>
    <n v="123.86666666666667"/>
    <n v="123.8"/>
    <n v="-3.2206119162641357E-3"/>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9.08461538461538"/>
    <n v="128.1"/>
    <n v="124.5"/>
    <n v="119.55"/>
    <n v="128.96666666666667"/>
    <n v="126"/>
    <n v="-2.3752969121139918E-3"/>
  </r>
  <r>
    <x v="0"/>
    <x v="3"/>
    <x v="2"/>
    <n v="127.3"/>
    <n v="134.4"/>
    <n v="125.1"/>
    <n v="130.5"/>
    <n v="118.3"/>
    <n v="131.69999999999999"/>
    <n v="130.69999999999999"/>
    <n v="161.19999999999999"/>
    <n v="100.4"/>
    <n v="130.80000000000001"/>
    <n v="124.9"/>
    <n v="137"/>
    <n v="130.4"/>
    <n v="135"/>
    <n v="134.4"/>
    <n v="130.19999999999999"/>
    <n v="133.80000000000001"/>
    <n v="0"/>
    <n v="127"/>
    <n v="127.7"/>
    <n v="124.8"/>
    <n v="113.6"/>
    <n v="122.5"/>
    <n v="127.5"/>
    <n v="117.4"/>
    <n v="121.1"/>
    <n v="129.43846153846155"/>
    <n v="128.75"/>
    <n v="63.85"/>
    <n v="121.1"/>
    <n v="132.80000000000001"/>
    <n v="128"/>
    <n v="7.8186082877243403E-4"/>
  </r>
  <r>
    <x v="1"/>
    <x v="3"/>
    <x v="2"/>
    <n v="124.8"/>
    <n v="136.30000000000001"/>
    <n v="123.7"/>
    <n v="129.69999999999999"/>
    <n v="107.9"/>
    <n v="119.9"/>
    <n v="128.1"/>
    <n v="170.3"/>
    <n v="101.8"/>
    <n v="140.1"/>
    <n v="120.7"/>
    <n v="135.4"/>
    <n v="128.9"/>
    <n v="140.6"/>
    <n v="126.4"/>
    <n v="120.3"/>
    <n v="125.5"/>
    <n v="124.9"/>
    <n v="114.8"/>
    <n v="122.3"/>
    <n v="119.7"/>
    <n v="108.5"/>
    <n v="119.1"/>
    <n v="126.4"/>
    <n v="117.1"/>
    <n v="117.3"/>
    <n v="128.27692307692308"/>
    <n v="129.85"/>
    <n v="123.6"/>
    <n v="118.4"/>
    <n v="124.06666666666666"/>
    <n v="123.8"/>
    <n v="0"/>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8.86153846153846"/>
    <n v="128.55000000000001"/>
    <n v="125"/>
    <n v="120.1"/>
    <n v="129.29999999999998"/>
    <n v="126"/>
    <n v="0"/>
  </r>
  <r>
    <x v="0"/>
    <x v="3"/>
    <x v="3"/>
    <n v="127.4"/>
    <n v="135.4"/>
    <n v="123.4"/>
    <n v="131.30000000000001"/>
    <n v="118.2"/>
    <n v="138.1"/>
    <n v="134.1"/>
    <n v="162.69999999999999"/>
    <n v="105"/>
    <n v="131.4"/>
    <n v="125.4"/>
    <n v="137.4"/>
    <n v="131.80000000000001"/>
    <n v="135.5"/>
    <n v="135"/>
    <n v="130.6"/>
    <n v="134.4"/>
    <n v="0"/>
    <n v="127"/>
    <n v="128"/>
    <n v="125.2"/>
    <n v="114.4"/>
    <n v="123.2"/>
    <n v="127.9"/>
    <n v="118.4"/>
    <n v="121.7"/>
    <n v="130.89230769230772"/>
    <n v="129.35"/>
    <n v="64"/>
    <n v="121.80000000000001"/>
    <n v="133.33333333333334"/>
    <n v="129"/>
    <n v="7.8125E-3"/>
  </r>
  <r>
    <x v="1"/>
    <x v="3"/>
    <x v="3"/>
    <n v="124.9"/>
    <n v="139.30000000000001"/>
    <n v="119.9"/>
    <n v="130.19999999999999"/>
    <n v="108.9"/>
    <n v="131.1"/>
    <n v="136.80000000000001"/>
    <n v="176.9"/>
    <n v="109.1"/>
    <n v="140.4"/>
    <n v="121.1"/>
    <n v="135.9"/>
    <n v="131.80000000000001"/>
    <n v="141.5"/>
    <n v="126.8"/>
    <n v="120.5"/>
    <n v="125.8"/>
    <n v="125.6"/>
    <n v="114.6"/>
    <n v="122.8"/>
    <n v="120"/>
    <n v="110"/>
    <n v="119.5"/>
    <n v="127.6"/>
    <n v="117.6"/>
    <n v="118.2"/>
    <n v="131.25384615384615"/>
    <n v="130.5"/>
    <n v="124.19999999999999"/>
    <n v="118.8"/>
    <n v="124.36666666666667"/>
    <n v="125.3"/>
    <n v="1.2116316639741519E-2"/>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30.86923076923077"/>
    <n v="129.1"/>
    <n v="125.55"/>
    <n v="120.65"/>
    <n v="129.73333333333335"/>
    <n v="127.3"/>
    <n v="1.0317460317460295E-2"/>
  </r>
  <r>
    <x v="0"/>
    <x v="3"/>
    <x v="4"/>
    <n v="127.6"/>
    <n v="137.5"/>
    <n v="124.4"/>
    <n v="132.4"/>
    <n v="118.2"/>
    <n v="138.1"/>
    <n v="141.80000000000001"/>
    <n v="166"/>
    <n v="107.5"/>
    <n v="132.19999999999999"/>
    <n v="126.1"/>
    <n v="138.30000000000001"/>
    <n v="133.6"/>
    <n v="136"/>
    <n v="135.4"/>
    <n v="131.1"/>
    <n v="134.80000000000001"/>
    <n v="0"/>
    <n v="127.4"/>
    <n v="128.5"/>
    <n v="125.8"/>
    <n v="115.1"/>
    <n v="123.6"/>
    <n v="129.1"/>
    <n v="119.7"/>
    <n v="122.5"/>
    <n v="132.59230769230768"/>
    <n v="129.80000000000001"/>
    <n v="64.25"/>
    <n v="122.75"/>
    <n v="133.76666666666668"/>
    <n v="130.30000000000001"/>
    <n v="1.007751937984505E-2"/>
  </r>
  <r>
    <x v="1"/>
    <x v="3"/>
    <x v="4"/>
    <n v="125"/>
    <n v="142.1"/>
    <n v="127"/>
    <n v="130.4"/>
    <n v="109.6"/>
    <n v="133.5"/>
    <n v="151.4"/>
    <n v="182.8"/>
    <n v="111.1"/>
    <n v="141.5"/>
    <n v="121.5"/>
    <n v="136.30000000000001"/>
    <n v="134.6"/>
    <n v="142.19999999999999"/>
    <n v="127.2"/>
    <n v="120.7"/>
    <n v="126.2"/>
    <n v="126"/>
    <n v="115"/>
    <n v="123.2"/>
    <n v="120.3"/>
    <n v="110.7"/>
    <n v="119.8"/>
    <n v="128"/>
    <n v="118.5"/>
    <n v="118.7"/>
    <n v="134.36923076923074"/>
    <n v="131"/>
    <n v="124.6"/>
    <n v="119.4"/>
    <n v="124.7"/>
    <n v="126.6"/>
    <n v="1.0375099760574599E-2"/>
  </r>
  <r>
    <x v="2"/>
    <x v="3"/>
    <x v="4"/>
    <n v="126.8"/>
    <n v="139.1"/>
    <n v="125.4"/>
    <n v="131.69999999999999"/>
    <n v="115"/>
    <n v="136"/>
    <n v="145.1"/>
    <n v="171.7"/>
    <n v="108.7"/>
    <n v="135.30000000000001"/>
    <n v="124.2"/>
    <n v="137.4"/>
    <n v="134"/>
    <n v="137.69999999999999"/>
    <n v="132.19999999999999"/>
    <n v="126.8"/>
    <n v="131.4"/>
    <n v="126"/>
    <n v="122.7"/>
    <n v="126"/>
    <n v="123.7"/>
    <n v="112.8"/>
    <n v="121.5"/>
    <n v="128.5"/>
    <n v="119.2"/>
    <n v="120.7"/>
    <n v="133.1076923076923"/>
    <n v="129.6"/>
    <n v="126"/>
    <n v="121.45"/>
    <n v="130.13333333333333"/>
    <n v="128.6"/>
    <n v="1.0212097407698328E-2"/>
  </r>
  <r>
    <x v="0"/>
    <x v="3"/>
    <x v="5"/>
    <n v="128.6"/>
    <n v="138.6"/>
    <n v="126.6"/>
    <n v="133.6"/>
    <n v="118.6"/>
    <n v="137.4"/>
    <n v="152.5"/>
    <n v="169.2"/>
    <n v="108.8"/>
    <n v="133.1"/>
    <n v="126.4"/>
    <n v="139.19999999999999"/>
    <n v="136"/>
    <n v="137.19999999999999"/>
    <n v="136.30000000000001"/>
    <n v="131.6"/>
    <n v="135.6"/>
    <n v="0"/>
    <n v="128"/>
    <n v="129.30000000000001"/>
    <n v="126.2"/>
    <n v="116.3"/>
    <n v="124.1"/>
    <n v="130.19999999999999"/>
    <n v="119.9"/>
    <n v="123.3"/>
    <n v="134.50769230769231"/>
    <n v="130.64999999999998"/>
    <n v="64.650000000000006"/>
    <n v="123.05000000000001"/>
    <n v="134.5"/>
    <n v="131.9"/>
    <n v="1.2279355333844928E-2"/>
  </r>
  <r>
    <x v="1"/>
    <x v="3"/>
    <x v="5"/>
    <n v="125.9"/>
    <n v="143.9"/>
    <n v="130.9"/>
    <n v="131"/>
    <n v="110.2"/>
    <n v="135.5"/>
    <n v="173.7"/>
    <n v="184.4"/>
    <n v="112"/>
    <n v="142.80000000000001"/>
    <n v="121.6"/>
    <n v="136.9"/>
    <n v="138.19999999999999"/>
    <n v="142.69999999999999"/>
    <n v="127.6"/>
    <n v="121.1"/>
    <n v="126.6"/>
    <n v="125.5"/>
    <n v="115.5"/>
    <n v="123.2"/>
    <n v="120.6"/>
    <n v="112.3"/>
    <n v="119.9"/>
    <n v="129.30000000000001"/>
    <n v="118.8"/>
    <n v="119.6"/>
    <n v="137.46153846153848"/>
    <n v="131.30000000000001"/>
    <n v="124.35"/>
    <n v="119.69999999999999"/>
    <n v="125.09999999999998"/>
    <n v="128.1"/>
    <n v="1.1848341232227489E-2"/>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5.43076923076922"/>
    <n v="130.19999999999999"/>
    <n v="125.95"/>
    <n v="121.75"/>
    <n v="130.70000000000002"/>
    <n v="130.1"/>
    <n v="1.1664074650077761E-2"/>
  </r>
  <r>
    <x v="0"/>
    <x v="3"/>
    <x v="6"/>
    <n v="129.30000000000001"/>
    <n v="139.5"/>
    <n v="129.6"/>
    <n v="134.5"/>
    <n v="119.5"/>
    <n v="138.5"/>
    <n v="158.19999999999999"/>
    <n v="171.8"/>
    <n v="110.3"/>
    <n v="134.30000000000001"/>
    <n v="127.3"/>
    <n v="139.9"/>
    <n v="137.6"/>
    <n v="138"/>
    <n v="137.19999999999999"/>
    <n v="132.19999999999999"/>
    <n v="136.5"/>
    <n v="0"/>
    <n v="128.19999999999999"/>
    <n v="130"/>
    <n v="126.7"/>
    <n v="116.4"/>
    <n v="125.2"/>
    <n v="130.80000000000001"/>
    <n v="120.9"/>
    <n v="123.8"/>
    <n v="136.17692307692306"/>
    <n v="131.6"/>
    <n v="65"/>
    <n v="123.80000000000001"/>
    <n v="135.29999999999998"/>
    <n v="133"/>
    <n v="8.3396512509476446E-3"/>
  </r>
  <r>
    <x v="1"/>
    <x v="3"/>
    <x v="6"/>
    <n v="126.8"/>
    <n v="144.19999999999999"/>
    <n v="136.6"/>
    <n v="131.80000000000001"/>
    <n v="111"/>
    <n v="137"/>
    <n v="179.5"/>
    <n v="188.4"/>
    <n v="113.3"/>
    <n v="143.9"/>
    <n v="121.7"/>
    <n v="137.5"/>
    <n v="139.80000000000001"/>
    <n v="142.9"/>
    <n v="127.9"/>
    <n v="121.1"/>
    <n v="126.9"/>
    <n v="126.4"/>
    <n v="115.5"/>
    <n v="123.5"/>
    <n v="120.9"/>
    <n v="111.7"/>
    <n v="120.3"/>
    <n v="130.80000000000001"/>
    <n v="120"/>
    <n v="119.9"/>
    <n v="139.34615384615387"/>
    <n v="131.6"/>
    <n v="124.95"/>
    <n v="120.45"/>
    <n v="125.3"/>
    <n v="129"/>
    <n v="7.025761124121825E-3"/>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7.19230769230768"/>
    <n v="130.85000000000002"/>
    <n v="126.65"/>
    <n v="122.5"/>
    <n v="131.26666666666668"/>
    <n v="131.1"/>
    <n v="7.6863950807071488E-3"/>
  </r>
  <r>
    <x v="0"/>
    <x v="3"/>
    <x v="7"/>
    <n v="130.1"/>
    <n v="138.80000000000001"/>
    <n v="130.30000000000001"/>
    <n v="135.30000000000001"/>
    <n v="119.9"/>
    <n v="140.19999999999999"/>
    <n v="156.9"/>
    <n v="172.2"/>
    <n v="112.1"/>
    <n v="134.9"/>
    <n v="128.1"/>
    <n v="140.69999999999999"/>
    <n v="138"/>
    <n v="138.9"/>
    <n v="137.80000000000001"/>
    <n v="133"/>
    <n v="137.1"/>
    <n v="0"/>
    <n v="129.1"/>
    <n v="130.6"/>
    <n v="127"/>
    <n v="116"/>
    <n v="125.5"/>
    <n v="131.9"/>
    <n v="122"/>
    <n v="124.2"/>
    <n v="136.73076923076923"/>
    <n v="132.19999999999999"/>
    <n v="65.3"/>
    <n v="124.5"/>
    <n v="135.96666666666667"/>
    <n v="133.5"/>
    <n v="3.7593984962406013E-3"/>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37.2307692307692"/>
    <n v="132.1"/>
    <n v="125.6"/>
    <n v="121.05000000000001"/>
    <n v="125.66666666666667"/>
    <n v="128.4"/>
    <n v="-4.6511627906976301E-3"/>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6.76153846153846"/>
    <n v="131.44999999999999"/>
    <n v="127.35"/>
    <n v="123.15"/>
    <n v="131.83333333333331"/>
    <n v="131.1"/>
    <n v="0"/>
  </r>
  <r>
    <x v="0"/>
    <x v="3"/>
    <x v="8"/>
    <n v="130.80000000000001"/>
    <n v="138.19999999999999"/>
    <n v="130.5"/>
    <n v="135.5"/>
    <n v="120.2"/>
    <n v="139.19999999999999"/>
    <n v="149.5"/>
    <n v="170.4"/>
    <n v="113.1"/>
    <n v="135.80000000000001"/>
    <n v="128.80000000000001"/>
    <n v="141.5"/>
    <n v="137.19999999999999"/>
    <n v="139.9"/>
    <n v="138.5"/>
    <n v="133.5"/>
    <n v="137.80000000000001"/>
    <n v="0"/>
    <n v="129.69999999999999"/>
    <n v="131.1"/>
    <n v="127.8"/>
    <n v="117"/>
    <n v="125.7"/>
    <n v="132.19999999999999"/>
    <n v="122.8"/>
    <n v="124.9"/>
    <n v="136.2076923076923"/>
    <n v="132.80000000000001"/>
    <n v="65.55"/>
    <n v="125.3"/>
    <n v="136.6"/>
    <n v="133.4"/>
    <n v="-7.4906367041194244E-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35.10769230769228"/>
    <n v="132.35"/>
    <n v="126.1"/>
    <n v="121.30000000000001"/>
    <n v="126"/>
    <n v="128"/>
    <n v="-3.1152647975078323E-3"/>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5.66923076923075"/>
    <n v="131.94999999999999"/>
    <n v="127.9"/>
    <n v="123.75"/>
    <n v="132.33333333333334"/>
    <n v="130.9"/>
    <n v="-1.5255530129671139E-3"/>
  </r>
  <r>
    <x v="0"/>
    <x v="3"/>
    <x v="9"/>
    <n v="131.30000000000001"/>
    <n v="137.6"/>
    <n v="130.1"/>
    <n v="136"/>
    <n v="120.8"/>
    <n v="138.4"/>
    <n v="149.19999999999999"/>
    <n v="170.2"/>
    <n v="113.4"/>
    <n v="136.30000000000001"/>
    <n v="128.69999999999999"/>
    <n v="142.4"/>
    <n v="137.4"/>
    <n v="140.9"/>
    <n v="139.6"/>
    <n v="134.30000000000001"/>
    <n v="138.80000000000001"/>
    <n v="0"/>
    <n v="129.80000000000001"/>
    <n v="131.80000000000001"/>
    <n v="128.69999999999999"/>
    <n v="117.8"/>
    <n v="126.5"/>
    <n v="133"/>
    <n v="123"/>
    <n v="125.7"/>
    <n v="136.2923076923077"/>
    <n v="133.69999999999999"/>
    <n v="65.900000000000006"/>
    <n v="125.85"/>
    <n v="137.56666666666666"/>
    <n v="133.80000000000001"/>
    <n v="2.9985007496252298E-3"/>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35.6076923076923"/>
    <n v="132.75"/>
    <n v="126.6"/>
    <n v="121.3"/>
    <n v="126.33333333333333"/>
    <n v="128.6"/>
    <n v="4.6874999999999556E-3"/>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5.90769230769226"/>
    <n v="132.65"/>
    <n v="128.55000000000001"/>
    <n v="124.1"/>
    <n v="133.03333333333333"/>
    <n v="131.4"/>
    <n v="3.819709702062643E-3"/>
  </r>
  <r>
    <x v="0"/>
    <x v="3"/>
    <x v="10"/>
    <n v="132"/>
    <n v="137.4"/>
    <n v="130.6"/>
    <n v="136.19999999999999"/>
    <n v="121.1"/>
    <n v="136.9"/>
    <n v="141.80000000000001"/>
    <n v="170"/>
    <n v="113.4"/>
    <n v="136.80000000000001"/>
    <n v="128.69999999999999"/>
    <n v="143.1"/>
    <n v="136.6"/>
    <n v="141.19999999999999"/>
    <n v="139.9"/>
    <n v="134.5"/>
    <n v="139.19999999999999"/>
    <n v="0"/>
    <n v="130.30000000000001"/>
    <n v="132.1"/>
    <n v="129.1"/>
    <n v="118.2"/>
    <n v="126.9"/>
    <n v="133.69999999999999"/>
    <n v="123.5"/>
    <n v="126.1"/>
    <n v="135.73846153846154"/>
    <n v="134.05000000000001"/>
    <n v="66.05"/>
    <n v="126.3"/>
    <n v="137.86666666666665"/>
    <n v="133.6"/>
    <n v="-1.494768310911936E-3"/>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35.01538461538462"/>
    <n v="133"/>
    <n v="126.9"/>
    <n v="121.69999999999999"/>
    <n v="126.73333333333333"/>
    <n v="128.5"/>
    <n v="-7.7760497667180657E-4"/>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5.36923076923077"/>
    <n v="133"/>
    <n v="128.85"/>
    <n v="124.5"/>
    <n v="133.36666666666667"/>
    <n v="131.19999999999999"/>
    <n v="-1.52207001522083E-3"/>
  </r>
  <r>
    <x v="0"/>
    <x v="3"/>
    <x v="11"/>
    <n v="132.6"/>
    <n v="137.30000000000001"/>
    <n v="131.6"/>
    <n v="136.30000000000001"/>
    <n v="121.6"/>
    <n v="135.6"/>
    <n v="127.5"/>
    <n v="167.9"/>
    <n v="113.8"/>
    <n v="137.5"/>
    <n v="129.1"/>
    <n v="143.6"/>
    <n v="134.69999999999999"/>
    <n v="142.4"/>
    <n v="140.4"/>
    <n v="135.19999999999999"/>
    <n v="139.69999999999999"/>
    <n v="0"/>
    <n v="132"/>
    <n v="132.9"/>
    <n v="129.69999999999999"/>
    <n v="118.6"/>
    <n v="127.3"/>
    <n v="134.19999999999999"/>
    <n v="121.9"/>
    <n v="126.3"/>
    <n v="134.54615384615383"/>
    <n v="134.85"/>
    <n v="66.45"/>
    <n v="125.8"/>
    <n v="138.43333333333334"/>
    <n v="132.80000000000001"/>
    <n v="-5.9880239520956812E-3"/>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33.06153846153845"/>
    <n v="133.4"/>
    <n v="126.75"/>
    <n v="121.1"/>
    <n v="127"/>
    <n v="127.6"/>
    <n v="-7.0038910505837021E-3"/>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3.9"/>
    <n v="133.65"/>
    <n v="128.85"/>
    <n v="124"/>
    <n v="133.83333333333334"/>
    <n v="130.4"/>
    <n v="-6.0975609756096271E-3"/>
  </r>
  <r>
    <x v="0"/>
    <x v="4"/>
    <x v="0"/>
    <n v="133.1"/>
    <n v="137.80000000000001"/>
    <n v="131.9"/>
    <n v="136.69999999999999"/>
    <n v="122"/>
    <n v="136"/>
    <n v="119.8"/>
    <n v="161.69999999999999"/>
    <n v="114.8"/>
    <n v="136.9"/>
    <n v="129"/>
    <n v="143.9"/>
    <n v="133.69999999999999"/>
    <n v="143.1"/>
    <n v="140.69999999999999"/>
    <n v="135.80000000000001"/>
    <n v="140"/>
    <n v="0"/>
    <n v="132.1"/>
    <n v="133.19999999999999"/>
    <n v="129.9"/>
    <n v="119.1"/>
    <n v="127"/>
    <n v="134.6"/>
    <n v="122.3"/>
    <n v="126.6"/>
    <n v="133.63846153846154"/>
    <n v="135.05000000000001"/>
    <n v="66.599999999999994"/>
    <n v="126.1"/>
    <n v="138.83333333333334"/>
    <n v="132.4"/>
    <n v="-3.012048192771127E-3"/>
  </r>
  <r>
    <x v="1"/>
    <x v="4"/>
    <x v="0"/>
    <n v="132.19999999999999"/>
    <n v="138.9"/>
    <n v="132.6"/>
    <n v="133.1"/>
    <n v="114"/>
    <n v="129.6"/>
    <n v="118.7"/>
    <n v="155.1"/>
    <n v="117.3"/>
    <n v="144.9"/>
    <n v="123.2"/>
    <n v="141.6"/>
    <n v="132"/>
    <n v="145.6"/>
    <n v="130.19999999999999"/>
    <n v="122.3"/>
    <n v="129"/>
    <n v="129.6"/>
    <n v="118"/>
    <n v="125.1"/>
    <n v="122.6"/>
    <n v="115.2"/>
    <n v="122"/>
    <n v="132.4"/>
    <n v="120.9"/>
    <n v="122.1"/>
    <n v="131.78461538461539"/>
    <n v="133.80000000000001"/>
    <n v="127.35"/>
    <n v="121.75"/>
    <n v="127.16666666666667"/>
    <n v="127.8"/>
    <n v="1.5673981191222793E-3"/>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2.86923076923074"/>
    <n v="134"/>
    <n v="129.5"/>
    <n v="124.4"/>
    <n v="134.13333333333333"/>
    <n v="130.30000000000001"/>
    <n v="-7.668711656441281E-4"/>
  </r>
  <r>
    <x v="0"/>
    <x v="4"/>
    <x v="1"/>
    <n v="133.30000000000001"/>
    <n v="138.30000000000001"/>
    <n v="129.30000000000001"/>
    <n v="137.19999999999999"/>
    <n v="122.1"/>
    <n v="138.69999999999999"/>
    <n v="119.1"/>
    <n v="156.9"/>
    <n v="116.2"/>
    <n v="136"/>
    <n v="129.4"/>
    <n v="144.4"/>
    <n v="133.6"/>
    <n v="143.69999999999999"/>
    <n v="140.9"/>
    <n v="135.80000000000001"/>
    <n v="140.19999999999999"/>
    <n v="0"/>
    <n v="133.19999999999999"/>
    <n v="133.6"/>
    <n v="130.1"/>
    <n v="119.5"/>
    <n v="127.7"/>
    <n v="134.9"/>
    <n v="123.2"/>
    <n v="127"/>
    <n v="133.42307692307693"/>
    <n v="135.69999999999999"/>
    <n v="66.8"/>
    <n v="126.65"/>
    <n v="138.96666666666667"/>
    <n v="132.6"/>
    <n v="1.5105740181268023E-3"/>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31.17692307692309"/>
    <n v="134.25"/>
    <n v="127.9"/>
    <n v="122.30000000000001"/>
    <n v="127.43333333333334"/>
    <n v="128.19999999999999"/>
    <n v="3.1298904538340491E-3"/>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2.48461538461541"/>
    <n v="134.5"/>
    <n v="130.1"/>
    <n v="125"/>
    <n v="134.33333333333334"/>
    <n v="130.6"/>
    <n v="2.3023791250958016E-3"/>
  </r>
  <r>
    <x v="0"/>
    <x v="4"/>
    <x v="2"/>
    <n v="133.6"/>
    <n v="138.80000000000001"/>
    <n v="128.80000000000001"/>
    <n v="137.19999999999999"/>
    <n v="121.6"/>
    <n v="139.69999999999999"/>
    <n v="119.7"/>
    <n v="148"/>
    <n v="116.9"/>
    <n v="135.6"/>
    <n v="129.80000000000001"/>
    <n v="145.4"/>
    <n v="133.4"/>
    <n v="144.19999999999999"/>
    <n v="141.6"/>
    <n v="136.19999999999999"/>
    <n v="140.80000000000001"/>
    <n v="0"/>
    <n v="134.19999999999999"/>
    <n v="134.1"/>
    <n v="130.6"/>
    <n v="119.8"/>
    <n v="128.30000000000001"/>
    <n v="135.19999999999999"/>
    <n v="123.3"/>
    <n v="127.4"/>
    <n v="132.96153846153848"/>
    <n v="136.25"/>
    <n v="67.05"/>
    <n v="126.94999999999999"/>
    <n v="139.53333333333333"/>
    <n v="132.80000000000001"/>
    <n v="1.5082956259428134E-3"/>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31.2076923076923"/>
    <n v="134.94999999999999"/>
    <n v="128.35"/>
    <n v="122.4"/>
    <n v="127.73333333333335"/>
    <n v="128.69999999999999"/>
    <n v="3.9001560062402497E-3"/>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2.22307692307692"/>
    <n v="135.05000000000001"/>
    <n v="130.6"/>
    <n v="125.19999999999999"/>
    <n v="134.76666666666665"/>
    <n v="130.9"/>
    <n v="2.2970903522206076E-3"/>
  </r>
  <r>
    <x v="0"/>
    <x v="4"/>
    <x v="3"/>
    <n v="133.19999999999999"/>
    <n v="138.69999999999999"/>
    <n v="127.1"/>
    <n v="137.69999999999999"/>
    <n v="121.3"/>
    <n v="141.80000000000001"/>
    <n v="121.5"/>
    <n v="144.5"/>
    <n v="117.4"/>
    <n v="134.1"/>
    <n v="130"/>
    <n v="145.5"/>
    <n v="133.5"/>
    <n v="144.4"/>
    <n v="142.4"/>
    <n v="136.80000000000001"/>
    <n v="141.6"/>
    <n v="0"/>
    <n v="135"/>
    <n v="134.30000000000001"/>
    <n v="131"/>
    <n v="119.2"/>
    <n v="128.30000000000001"/>
    <n v="135.69999999999999"/>
    <n v="123.7"/>
    <n v="127.5"/>
    <n v="132.7923076923077"/>
    <n v="136.35000000000002"/>
    <n v="67.150000000000006"/>
    <n v="127.35"/>
    <n v="140.26666666666668"/>
    <n v="132.9"/>
    <n v="7.5301204819272819E-4"/>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31.3923076923077"/>
    <n v="135.30000000000001"/>
    <n v="128.85"/>
    <n v="122.80000000000001"/>
    <n v="128.06666666666666"/>
    <n v="129.1"/>
    <n v="3.1080031080031522E-3"/>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2.1846153846154"/>
    <n v="135.25"/>
    <n v="131.05000000000001"/>
    <n v="125.6"/>
    <n v="135.36666666666667"/>
    <n v="131.1"/>
    <n v="1.5278838808249703E-3"/>
  </r>
  <r>
    <x v="0"/>
    <x v="4"/>
    <x v="4"/>
    <n v="133.1"/>
    <n v="140.30000000000001"/>
    <n v="126.8"/>
    <n v="138.19999999999999"/>
    <n v="120.8"/>
    <n v="140.19999999999999"/>
    <n v="123.8"/>
    <n v="141.80000000000001"/>
    <n v="118.6"/>
    <n v="134"/>
    <n v="130.30000000000001"/>
    <n v="145.80000000000001"/>
    <n v="133.80000000000001"/>
    <n v="145.5"/>
    <n v="142.5"/>
    <n v="137.30000000000001"/>
    <n v="141.80000000000001"/>
    <n v="0"/>
    <n v="135"/>
    <n v="134.9"/>
    <n v="131.4"/>
    <n v="119.4"/>
    <n v="129.4"/>
    <n v="136.30000000000001"/>
    <n v="123.7"/>
    <n v="127.9"/>
    <n v="132.88461538461536"/>
    <n v="137.44999999999999"/>
    <n v="67.45"/>
    <n v="127.55000000000001"/>
    <n v="140.53333333333333"/>
    <n v="133.30000000000001"/>
    <n v="3.0097817908202084E-3"/>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31.50769230769231"/>
    <n v="135.55000000000001"/>
    <n v="129.30000000000001"/>
    <n v="122.8"/>
    <n v="128.29999999999998"/>
    <n v="129.30000000000001"/>
    <n v="1.54918667699471E-3"/>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2.27692307692308"/>
    <n v="135.94999999999999"/>
    <n v="131.5"/>
    <n v="125.7"/>
    <n v="135.6"/>
    <n v="131.4"/>
    <n v="2.2883295194508877E-3"/>
  </r>
  <r>
    <x v="0"/>
    <x v="4"/>
    <x v="5"/>
    <n v="133.5"/>
    <n v="143.69999999999999"/>
    <n v="128"/>
    <n v="138.6"/>
    <n v="120.9"/>
    <n v="140.9"/>
    <n v="128.80000000000001"/>
    <n v="140.19999999999999"/>
    <n v="118.9"/>
    <n v="133.5"/>
    <n v="130.4"/>
    <n v="146.5"/>
    <n v="134.9"/>
    <n v="145.80000000000001"/>
    <n v="143.1"/>
    <n v="137.69999999999999"/>
    <n v="142.30000000000001"/>
    <n v="0"/>
    <n v="134.80000000000001"/>
    <n v="135.19999999999999"/>
    <n v="131.30000000000001"/>
    <n v="119.4"/>
    <n v="129.80000000000001"/>
    <n v="136.9"/>
    <n v="124.1"/>
    <n v="128.1"/>
    <n v="133.75384615384615"/>
    <n v="137.80000000000001"/>
    <n v="67.599999999999994"/>
    <n v="127.7"/>
    <n v="141.03333333333333"/>
    <n v="133.9"/>
    <n v="4.5011252813202873E-3"/>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33.15384615384616"/>
    <n v="135.75"/>
    <n v="129.1"/>
    <n v="123.15"/>
    <n v="128.29999999999998"/>
    <n v="129.9"/>
    <n v="4.6403712296983314E-3"/>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3.43846153846155"/>
    <n v="136.19999999999999"/>
    <n v="131.30000000000001"/>
    <n v="125.95"/>
    <n v="135.9"/>
    <n v="132"/>
    <n v="4.5662100456620568E-3"/>
  </r>
  <r>
    <x v="0"/>
    <x v="4"/>
    <x v="6"/>
    <n v="134"/>
    <n v="144.19999999999999"/>
    <n v="129.80000000000001"/>
    <n v="139"/>
    <n v="120.9"/>
    <n v="143.9"/>
    <n v="151.5"/>
    <n v="138.1"/>
    <n v="120"/>
    <n v="133.9"/>
    <n v="131.4"/>
    <n v="147.69999999999999"/>
    <n v="138.5"/>
    <n v="147.4"/>
    <n v="144.30000000000001"/>
    <n v="138.1"/>
    <n v="143.5"/>
    <n v="0"/>
    <n v="135.30000000000001"/>
    <n v="136.1"/>
    <n v="132.1"/>
    <n v="119.1"/>
    <n v="130.6"/>
    <n v="138.6"/>
    <n v="124.4"/>
    <n v="128.6"/>
    <n v="136.37692307692308"/>
    <n v="139"/>
    <n v="68.05"/>
    <n v="128.25"/>
    <n v="141.96666666666667"/>
    <n v="136.19999999999999"/>
    <n v="1.7176997759521903E-2"/>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6.00769230769231"/>
    <n v="137"/>
    <n v="129.9"/>
    <n v="123.7"/>
    <n v="128.56666666666669"/>
    <n v="131.80000000000001"/>
    <n v="1.4626635873749081E-2"/>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6.1076923076923"/>
    <n v="137.39999999999998"/>
    <n v="132.25"/>
    <n v="126.5"/>
    <n v="136.56666666666666"/>
    <n v="134.19999999999999"/>
    <n v="1.666666666666658E-2"/>
  </r>
  <r>
    <x v="0"/>
    <x v="4"/>
    <x v="7"/>
    <n v="134.80000000000001"/>
    <n v="143.1"/>
    <n v="130"/>
    <n v="139.4"/>
    <n v="120.5"/>
    <n v="148"/>
    <n v="162.9"/>
    <n v="137.4"/>
    <n v="120.8"/>
    <n v="134.69999999999999"/>
    <n v="131.6"/>
    <n v="148.69999999999999"/>
    <n v="140.6"/>
    <n v="149"/>
    <n v="145.30000000000001"/>
    <n v="139.19999999999999"/>
    <n v="144.5"/>
    <n v="0"/>
    <n v="136.4"/>
    <n v="137.30000000000001"/>
    <n v="133"/>
    <n v="120.3"/>
    <n v="131.5"/>
    <n v="140.19999999999999"/>
    <n v="125.4"/>
    <n v="129.69999999999999"/>
    <n v="137.88461538461536"/>
    <n v="140.25"/>
    <n v="68.650000000000006"/>
    <n v="129.19999999999999"/>
    <n v="143"/>
    <n v="137.80000000000001"/>
    <n v="1.174743024963306E-2"/>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6.38461538461536"/>
    <n v="138.1"/>
    <n v="131.05000000000001"/>
    <n v="124.5"/>
    <n v="129.46666666666667"/>
    <n v="132.69999999999999"/>
    <n v="6.8285280728374595E-3"/>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7.21538461538461"/>
    <n v="138.55000000000001"/>
    <n v="133.60000000000002"/>
    <n v="127.35"/>
    <n v="137.53333333333333"/>
    <n v="135.4"/>
    <n v="8.9418777943369391E-3"/>
  </r>
  <r>
    <x v="0"/>
    <x v="4"/>
    <x v="8"/>
    <n v="135.19999999999999"/>
    <n v="142"/>
    <n v="130.5"/>
    <n v="140.19999999999999"/>
    <n v="120.7"/>
    <n v="147.80000000000001"/>
    <n v="154.5"/>
    <n v="137.1"/>
    <n v="121"/>
    <n v="134.69999999999999"/>
    <n v="131.69999999999999"/>
    <n v="149.30000000000001"/>
    <n v="139.6"/>
    <n v="149.80000000000001"/>
    <n v="146.1"/>
    <n v="139.69999999999999"/>
    <n v="145.19999999999999"/>
    <n v="0"/>
    <n v="137.4"/>
    <n v="137.9"/>
    <n v="133.4"/>
    <n v="121.2"/>
    <n v="132.30000000000001"/>
    <n v="139.6"/>
    <n v="126.7"/>
    <n v="130.30000000000001"/>
    <n v="137.25384615384615"/>
    <n v="141.05000000000001"/>
    <n v="68.95"/>
    <n v="130.05000000000001"/>
    <n v="143.66666666666666"/>
    <n v="137.6"/>
    <n v="-1.4513788098694995E-3"/>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4.59230769230768"/>
    <n v="139.05000000000001"/>
    <n v="131.89999999999998"/>
    <n v="125.25"/>
    <n v="129.96666666666667"/>
    <n v="132.4"/>
    <n v="-2.2607385079124564E-3"/>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6.15384615384613"/>
    <n v="139.35000000000002"/>
    <n v="134.5"/>
    <n v="128.15"/>
    <n v="138.16666666666666"/>
    <n v="135.19999999999999"/>
    <n v="-1.4771048744462115E-3"/>
  </r>
  <r>
    <x v="0"/>
    <x v="4"/>
    <x v="9"/>
    <n v="135.9"/>
    <n v="141.9"/>
    <n v="131"/>
    <n v="141.5"/>
    <n v="121.4"/>
    <n v="146.69999999999999"/>
    <n v="157.1"/>
    <n v="136.4"/>
    <n v="121.4"/>
    <n v="135.6"/>
    <n v="131.30000000000001"/>
    <n v="150.30000000000001"/>
    <n v="140.4"/>
    <n v="150.5"/>
    <n v="147.19999999999999"/>
    <n v="140.6"/>
    <n v="146.19999999999999"/>
    <n v="0"/>
    <n v="138.1"/>
    <n v="138.4"/>
    <n v="134.19999999999999"/>
    <n v="121"/>
    <n v="133"/>
    <n v="140.1"/>
    <n v="127.4"/>
    <n v="130.69999999999999"/>
    <n v="137.76153846153846"/>
    <n v="141.75"/>
    <n v="69.2"/>
    <n v="130.80000000000001"/>
    <n v="144.66666666666666"/>
    <n v="138.30000000000001"/>
    <n v="5.0872093023257058E-3"/>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5.82307692307691"/>
    <n v="139.69999999999999"/>
    <n v="132.80000000000001"/>
    <n v="125.6"/>
    <n v="130.5"/>
    <n v="133.5"/>
    <n v="8.308157099697842E-3"/>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89999999999998"/>
    <n v="140"/>
    <n v="135.44999999999999"/>
    <n v="128.75"/>
    <n v="138.96666666666667"/>
    <n v="136.1"/>
    <n v="6.6568047337278533E-3"/>
  </r>
  <r>
    <x v="0"/>
    <x v="4"/>
    <x v="10"/>
    <n v="136.30000000000001"/>
    <n v="142.5"/>
    <n v="140.5"/>
    <n v="141.5"/>
    <n v="121.6"/>
    <n v="147.30000000000001"/>
    <n v="168"/>
    <n v="135.80000000000001"/>
    <n v="122.5"/>
    <n v="136"/>
    <n v="131.9"/>
    <n v="151.4"/>
    <n v="142.4"/>
    <n v="152.1"/>
    <n v="148.19999999999999"/>
    <n v="141.5"/>
    <n v="147.30000000000001"/>
    <n v="0"/>
    <n v="141.1"/>
    <n v="139.4"/>
    <n v="135.80000000000001"/>
    <n v="121.6"/>
    <n v="133.69999999999999"/>
    <n v="141.5"/>
    <n v="128.1"/>
    <n v="131.69999999999999"/>
    <n v="139.82307692307694"/>
    <n v="142.89999999999998"/>
    <n v="69.7"/>
    <n v="131.94999999999999"/>
    <n v="145.66666666666666"/>
    <n v="140"/>
    <n v="1.229211858279095E-2"/>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8.2076923076923"/>
    <n v="140.64999999999998"/>
    <n v="133.69999999999999"/>
    <n v="126.15"/>
    <n v="131.29999999999998"/>
    <n v="134.80000000000001"/>
    <n v="9.7378277153558901E-3"/>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9.09230769230768"/>
    <n v="141.05000000000001"/>
    <n v="136.5"/>
    <n v="129.69999999999999"/>
    <n v="139.86666666666667"/>
    <n v="137.6"/>
    <n v="1.1021307861866276E-2"/>
  </r>
  <r>
    <x v="0"/>
    <x v="4"/>
    <x v="11"/>
    <n v="136.4"/>
    <n v="143.69999999999999"/>
    <n v="144.80000000000001"/>
    <n v="141.9"/>
    <n v="123.1"/>
    <n v="147.19999999999999"/>
    <n v="161"/>
    <n v="133.80000000000001"/>
    <n v="121.9"/>
    <n v="135.80000000000001"/>
    <n v="131.1"/>
    <n v="151.4"/>
    <n v="141.5"/>
    <n v="153.19999999999999"/>
    <n v="148"/>
    <n v="141.9"/>
    <n v="147.19999999999999"/>
    <n v="0"/>
    <n v="142.6"/>
    <n v="139.5"/>
    <n v="136.1"/>
    <n v="122"/>
    <n v="133.4"/>
    <n v="141.1"/>
    <n v="127.8"/>
    <n v="131.9"/>
    <n v="139.50769230769231"/>
    <n v="143.30000000000001"/>
    <n v="69.75"/>
    <n v="131.94999999999999"/>
    <n v="145.69999999999999"/>
    <n v="139.80000000000001"/>
    <n v="-1.4285714285713475E-3"/>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5.96153846153845"/>
    <n v="141.30000000000001"/>
    <n v="134.19999999999999"/>
    <n v="126.39999999999999"/>
    <n v="131.73333333333332"/>
    <n v="134.1"/>
    <n v="-5.1928783382790581E-3"/>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8.07692307692307"/>
    <n v="141.6"/>
    <n v="136.89999999999998"/>
    <n v="129.80000000000001"/>
    <n v="140.06666666666666"/>
    <n v="137.19999999999999"/>
    <n v="-2.9069767441860881E-3"/>
  </r>
  <r>
    <x v="0"/>
    <x v="5"/>
    <x v="0"/>
    <n v="136.6"/>
    <n v="144.4"/>
    <n v="143.80000000000001"/>
    <n v="142"/>
    <n v="123.2"/>
    <n v="147.9"/>
    <n v="152.1"/>
    <n v="131.80000000000001"/>
    <n v="119.5"/>
    <n v="136"/>
    <n v="131.19999999999999"/>
    <n v="151.80000000000001"/>
    <n v="140.4"/>
    <n v="153.6"/>
    <n v="148.30000000000001"/>
    <n v="142.30000000000001"/>
    <n v="147.5"/>
    <n v="0"/>
    <n v="142.30000000000001"/>
    <n v="139.80000000000001"/>
    <n v="136"/>
    <n v="122.7"/>
    <n v="134.30000000000001"/>
    <n v="141.6"/>
    <n v="128.6"/>
    <n v="132.30000000000001"/>
    <n v="138.51538461538462"/>
    <n v="143.94999999999999"/>
    <n v="69.900000000000006"/>
    <n v="132.30000000000001"/>
    <n v="146.03333333333333"/>
    <n v="139.30000000000001"/>
    <n v="-3.5765379113018594E-3"/>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48461538461541"/>
    <n v="141.94999999999999"/>
    <n v="134.94999999999999"/>
    <n v="127.25"/>
    <n v="132.1"/>
    <n v="134.1"/>
    <n v="0"/>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1538461538462"/>
    <n v="142.19999999999999"/>
    <n v="137.65"/>
    <n v="130.30000000000001"/>
    <n v="140.43333333333334"/>
    <n v="136.9"/>
    <n v="-2.1865889212826749E-3"/>
  </r>
  <r>
    <x v="0"/>
    <x v="5"/>
    <x v="1"/>
    <n v="136.4"/>
    <n v="143.69999999999999"/>
    <n v="140.6"/>
    <n v="141.5"/>
    <n v="122.9"/>
    <n v="149.4"/>
    <n v="142.4"/>
    <n v="130.19999999999999"/>
    <n v="117.9"/>
    <n v="135.6"/>
    <n v="130.5"/>
    <n v="151.69999999999999"/>
    <n v="138.69999999999999"/>
    <n v="153.30000000000001"/>
    <n v="148.69999999999999"/>
    <n v="142.4"/>
    <n v="147.80000000000001"/>
    <n v="0"/>
    <n v="142.4"/>
    <n v="139.9"/>
    <n v="136.19999999999999"/>
    <n v="123.3"/>
    <n v="134.30000000000001"/>
    <n v="141.5"/>
    <n v="128.80000000000001"/>
    <n v="132.5"/>
    <n v="137.03846153846155"/>
    <n v="143.80000000000001"/>
    <n v="69.95"/>
    <n v="132.5"/>
    <n v="146.30000000000001"/>
    <n v="138.5"/>
    <n v="-5.7430007178751706E-3"/>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2.91538461538462"/>
    <n v="142.9"/>
    <n v="135.60000000000002"/>
    <n v="128"/>
    <n v="132.36666666666665"/>
    <n v="134"/>
    <n v="-7.4571215510808593E-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5.4153846153846"/>
    <n v="142.4"/>
    <n v="138.25"/>
    <n v="130.75"/>
    <n v="140.66666666666666"/>
    <n v="136.4"/>
    <n v="-3.6523009495982466E-3"/>
  </r>
  <r>
    <x v="0"/>
    <x v="5"/>
    <x v="2"/>
    <n v="136.80000000000001"/>
    <n v="143.80000000000001"/>
    <n v="140"/>
    <n v="142"/>
    <n v="123.2"/>
    <n v="152.9"/>
    <n v="138"/>
    <n v="129.30000000000001"/>
    <n v="117.1"/>
    <n v="136.30000000000001"/>
    <n v="131.19999999999999"/>
    <n v="152.80000000000001"/>
    <n v="138.6"/>
    <n v="155.1"/>
    <n v="149.19999999999999"/>
    <n v="143"/>
    <n v="148.30000000000001"/>
    <n v="0"/>
    <n v="142.6"/>
    <n v="139.9"/>
    <n v="136.69999999999999"/>
    <n v="124.6"/>
    <n v="135.1"/>
    <n v="142.69999999999999"/>
    <n v="129.30000000000001"/>
    <n v="133.30000000000001"/>
    <n v="137.07692307692307"/>
    <n v="145.1"/>
    <n v="69.95"/>
    <n v="133"/>
    <n v="146.83333333333334"/>
    <n v="138.69999999999999"/>
    <n v="1.4440433212995569E-3"/>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1.96153846153845"/>
    <n v="143.25"/>
    <n v="136.4"/>
    <n v="128.6"/>
    <n v="132.86666666666665"/>
    <n v="134"/>
    <n v="0"/>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5.07692307692307"/>
    <n v="143.35000000000002"/>
    <n v="138.80000000000001"/>
    <n v="131.25"/>
    <n v="141.20000000000002"/>
    <n v="136.5"/>
    <n v="7.3313782991198172E-4"/>
  </r>
  <r>
    <x v="0"/>
    <x v="5"/>
    <x v="3"/>
    <n v="137.1"/>
    <n v="144.5"/>
    <n v="135.9"/>
    <n v="142.4"/>
    <n v="123.5"/>
    <n v="156.4"/>
    <n v="135.1"/>
    <n v="128.4"/>
    <n v="115.2"/>
    <n v="137.19999999999999"/>
    <n v="131.9"/>
    <n v="153.80000000000001"/>
    <n v="138.6"/>
    <n v="156.1"/>
    <n v="150.1"/>
    <n v="143.30000000000001"/>
    <n v="149.1"/>
    <n v="0"/>
    <n v="143.80000000000001"/>
    <n v="140.9"/>
    <n v="137.6"/>
    <n v="125.3"/>
    <n v="136"/>
    <n v="143.69999999999999"/>
    <n v="130.4"/>
    <n v="134.19999999999999"/>
    <n v="136.92307692307693"/>
    <n v="146.05000000000001"/>
    <n v="70.45"/>
    <n v="134"/>
    <n v="147.5"/>
    <n v="139.1"/>
    <n v="2.8839221341024203E-3"/>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2.30769230769232"/>
    <n v="143.39999999999998"/>
    <n v="137.35000000000002"/>
    <n v="129.44999999999999"/>
    <n v="133.80000000000001"/>
    <n v="134.80000000000001"/>
    <n v="5.9701492537314283E-3"/>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5.16153846153847"/>
    <n v="144.10000000000002"/>
    <n v="139.75"/>
    <n v="132.19999999999999"/>
    <n v="142"/>
    <n v="137.1"/>
    <n v="4.395604395604354E-3"/>
  </r>
  <r>
    <x v="0"/>
    <x v="5"/>
    <x v="4"/>
    <n v="137.4"/>
    <n v="145.69999999999999"/>
    <n v="135.5"/>
    <n v="142.9"/>
    <n v="123.6"/>
    <n v="157.5"/>
    <n v="137.80000000000001"/>
    <n v="127.2"/>
    <n v="111.8"/>
    <n v="137.4"/>
    <n v="132.19999999999999"/>
    <n v="154.30000000000001"/>
    <n v="139.1"/>
    <n v="157"/>
    <n v="150.80000000000001"/>
    <n v="144.1"/>
    <n v="149.80000000000001"/>
    <n v="0"/>
    <n v="144.30000000000001"/>
    <n v="141.80000000000001"/>
    <n v="138.4"/>
    <n v="126.4"/>
    <n v="136.80000000000001"/>
    <n v="144.4"/>
    <n v="131.19999999999999"/>
    <n v="135.1"/>
    <n v="137.1076923076923"/>
    <n v="146.9"/>
    <n v="70.900000000000006"/>
    <n v="134.80000000000001"/>
    <n v="148.23333333333332"/>
    <n v="139.80000000000001"/>
    <n v="5.0323508267434728E-3"/>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2.53076923076921"/>
    <n v="144.15"/>
    <n v="137.85"/>
    <n v="130.05000000000001"/>
    <n v="134.5"/>
    <n v="135.4"/>
    <n v="4.4510385756676134E-3"/>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5.36923076923077"/>
    <n v="144.85000000000002"/>
    <n v="140.30000000000001"/>
    <n v="132.94999999999999"/>
    <n v="142.69999999999999"/>
    <n v="137.80000000000001"/>
    <n v="5.105762217359716E-3"/>
  </r>
  <r>
    <x v="0"/>
    <x v="5"/>
    <x v="5"/>
    <n v="137.6"/>
    <n v="148.1"/>
    <n v="136.69999999999999"/>
    <n v="143.19999999999999"/>
    <n v="124"/>
    <n v="154.1"/>
    <n v="143.5"/>
    <n v="126"/>
    <n v="112.4"/>
    <n v="137.6"/>
    <n v="132.80000000000001"/>
    <n v="154.30000000000001"/>
    <n v="140"/>
    <n v="157.30000000000001"/>
    <n v="151.30000000000001"/>
    <n v="144.69999999999999"/>
    <n v="150.30000000000001"/>
    <n v="0"/>
    <n v="145.1"/>
    <n v="142.19999999999999"/>
    <n v="138.4"/>
    <n v="127.4"/>
    <n v="137.80000000000001"/>
    <n v="145.1"/>
    <n v="131.4"/>
    <n v="135.6"/>
    <n v="137.71538461538461"/>
    <n v="147.55000000000001"/>
    <n v="71.099999999999994"/>
    <n v="134.9"/>
    <n v="148.76666666666668"/>
    <n v="140.5"/>
    <n v="5.0071530758225222E-3"/>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4.40769230769232"/>
    <n v="144.75"/>
    <n v="137.80000000000001"/>
    <n v="130.39999999999998"/>
    <n v="135"/>
    <n v="136.19999999999999"/>
    <n v="5.9084194977842164E-3"/>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6.46923076923079"/>
    <n v="145.44999999999999"/>
    <n v="140.19999999999999"/>
    <n v="133.14999999999998"/>
    <n v="143.23333333333332"/>
    <n v="138.5"/>
    <n v="5.0798258345427331E-3"/>
  </r>
  <r>
    <x v="0"/>
    <x v="5"/>
    <x v="6"/>
    <n v="138.4"/>
    <n v="149.30000000000001"/>
    <n v="139.30000000000001"/>
    <n v="143.4"/>
    <n v="124.1"/>
    <n v="153.30000000000001"/>
    <n v="154.19999999999999"/>
    <n v="126.4"/>
    <n v="114.3"/>
    <n v="138.19999999999999"/>
    <n v="132.80000000000001"/>
    <n v="154.80000000000001"/>
    <n v="142"/>
    <n v="156.1"/>
    <n v="151.5"/>
    <n v="145.1"/>
    <n v="150.6"/>
    <n v="0"/>
    <n v="146.80000000000001"/>
    <n v="143.1"/>
    <n v="139"/>
    <n v="127.5"/>
    <n v="138.4"/>
    <n v="145.80000000000001"/>
    <n v="131.4"/>
    <n v="136"/>
    <n v="139.26923076923077"/>
    <n v="147.25"/>
    <n v="71.55"/>
    <n v="135.19999999999999"/>
    <n v="149.06666666666669"/>
    <n v="141.80000000000001"/>
    <n v="9.2526690391459884E-3"/>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6.23846153846154"/>
    <n v="145.19999999999999"/>
    <n v="138.6"/>
    <n v="130.89999999999998"/>
    <n v="135.46666666666667"/>
    <n v="137.5"/>
    <n v="9.54478707782681E-3"/>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8.1"/>
    <n v="145.30000000000001"/>
    <n v="141.1"/>
    <n v="133.55000000000001"/>
    <n v="143.60000000000002"/>
    <n v="139.80000000000001"/>
    <n v="9.3862815884477348E-3"/>
  </r>
  <r>
    <x v="0"/>
    <x v="5"/>
    <x v="7"/>
    <n v="139.19999999999999"/>
    <n v="148.80000000000001"/>
    <n v="139.1"/>
    <n v="143.5"/>
    <n v="125"/>
    <n v="154.4"/>
    <n v="156.30000000000001"/>
    <n v="126.8"/>
    <n v="115.4"/>
    <n v="138.6"/>
    <n v="133.80000000000001"/>
    <n v="155.19999999999999"/>
    <n v="142.69999999999999"/>
    <n v="156.4"/>
    <n v="152.1"/>
    <n v="145.80000000000001"/>
    <n v="151.30000000000001"/>
    <n v="0"/>
    <n v="147.69999999999999"/>
    <n v="143.80000000000001"/>
    <n v="139.4"/>
    <n v="128.30000000000001"/>
    <n v="138.6"/>
    <n v="146.9"/>
    <n v="131.30000000000001"/>
    <n v="136.6"/>
    <n v="139.90769230769232"/>
    <n v="147.5"/>
    <n v="71.900000000000006"/>
    <n v="135.35000000000002"/>
    <n v="149.73333333333332"/>
    <n v="142.5"/>
    <n v="4.9365303244004836E-3"/>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5.96923076923076"/>
    <n v="145.94999999999999"/>
    <n v="139.5"/>
    <n v="131.60000000000002"/>
    <n v="135.76666666666668"/>
    <n v="138"/>
    <n v="3.6363636363636364E-3"/>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38.36153846153849"/>
    <n v="145.75"/>
    <n v="142"/>
    <n v="133.89999999999998"/>
    <n v="144.06666666666669"/>
    <n v="140.4"/>
    <n v="4.291845493562191E-3"/>
  </r>
  <r>
    <x v="0"/>
    <x v="5"/>
    <x v="8"/>
    <n v="139.4"/>
    <n v="147.19999999999999"/>
    <n v="136.6"/>
    <n v="143.69999999999999"/>
    <n v="124.6"/>
    <n v="150.1"/>
    <n v="149.4"/>
    <n v="125.4"/>
    <n v="114.4"/>
    <n v="138.69999999999999"/>
    <n v="133.1"/>
    <n v="155.9"/>
    <n v="141.30000000000001"/>
    <n v="157.69999999999999"/>
    <n v="152.1"/>
    <n v="146.1"/>
    <n v="151.30000000000001"/>
    <n v="0"/>
    <n v="149"/>
    <n v="144"/>
    <n v="140"/>
    <n v="129.9"/>
    <n v="140"/>
    <n v="147.6"/>
    <n v="132"/>
    <n v="137.4"/>
    <n v="138.44615384615386"/>
    <n v="148.85"/>
    <n v="72"/>
    <n v="136"/>
    <n v="149.83333333333334"/>
    <n v="142.1"/>
    <n v="-2.8070175438596888E-3"/>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4.49230769230769"/>
    <n v="146.75"/>
    <n v="140.10000000000002"/>
    <n v="132.5"/>
    <n v="136.4"/>
    <n v="138.1"/>
    <n v="7.246376811593791E-4"/>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36.88461538461539"/>
    <n v="146.85"/>
    <n v="142.5"/>
    <n v="134.65"/>
    <n v="144.43333333333331"/>
    <n v="140.19999999999999"/>
    <n v="-1.424501424501546E-3"/>
  </r>
  <r>
    <x v="0"/>
    <x v="5"/>
    <x v="9"/>
    <n v="139.30000000000001"/>
    <n v="147.6"/>
    <n v="134.6"/>
    <n v="141.9"/>
    <n v="123.5"/>
    <n v="144.5"/>
    <n v="147.6"/>
    <n v="121.4"/>
    <n v="112.3"/>
    <n v="139.5"/>
    <n v="134.6"/>
    <n v="155.19999999999999"/>
    <n v="140.19999999999999"/>
    <n v="159.6"/>
    <n v="150.69999999999999"/>
    <n v="144.5"/>
    <n v="149.80000000000001"/>
    <n v="0"/>
    <n v="149.69999999999999"/>
    <n v="147.5"/>
    <n v="144.80000000000001"/>
    <n v="130.80000000000001"/>
    <n v="140.1"/>
    <n v="148"/>
    <n v="134.4"/>
    <n v="139.80000000000001"/>
    <n v="137.09230769230768"/>
    <n v="149.85"/>
    <n v="73.75"/>
    <n v="139.60000000000002"/>
    <n v="148.33333333333334"/>
    <n v="142.19999999999999"/>
    <n v="7.0372976776913662E-4"/>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4.93076923076922"/>
    <n v="147.35"/>
    <n v="140.69999999999999"/>
    <n v="133.30000000000001"/>
    <n v="137"/>
    <n v="138.9"/>
    <n v="5.7929036929761871E-3"/>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36.63076923076923"/>
    <n v="149.55000000000001"/>
    <n v="144.55000000000001"/>
    <n v="137.05000000000001"/>
    <n v="144.66666666666666"/>
    <n v="140.80000000000001"/>
    <n v="4.2796005706135717E-3"/>
  </r>
  <r>
    <x v="0"/>
    <x v="5"/>
    <x v="10"/>
    <n v="137.1"/>
    <n v="150.80000000000001"/>
    <n v="136.69999999999999"/>
    <n v="141.9"/>
    <n v="122.8"/>
    <n v="143.9"/>
    <n v="147.5"/>
    <n v="121"/>
    <n v="111.6"/>
    <n v="140.6"/>
    <n v="137.5"/>
    <n v="156.1"/>
    <n v="140"/>
    <n v="161.9"/>
    <n v="151.69999999999999"/>
    <n v="145.5"/>
    <n v="150.80000000000001"/>
    <n v="0"/>
    <n v="150.30000000000001"/>
    <n v="148"/>
    <n v="145.4"/>
    <n v="130.30000000000001"/>
    <n v="143.1"/>
    <n v="150.19999999999999"/>
    <n v="133.1"/>
    <n v="140.1"/>
    <n v="137.49999999999997"/>
    <n v="152.5"/>
    <n v="74"/>
    <n v="139.25"/>
    <n v="149.33333333333334"/>
    <n v="142.4"/>
    <n v="1.4064697609002606E-3"/>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5.19230769230768"/>
    <n v="147.85000000000002"/>
    <n v="141.35000000000002"/>
    <n v="133.65"/>
    <n v="137.70000000000002"/>
    <n v="139"/>
    <n v="7.1994240460759049E-4"/>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36.59230769230771"/>
    <n v="149.55000000000001"/>
    <n v="144.55000000000001"/>
    <n v="137.05000000000001"/>
    <n v="144.6"/>
    <n v="140.80000000000001"/>
    <n v="0"/>
  </r>
  <r>
    <x v="0"/>
    <x v="5"/>
    <x v="11"/>
    <n v="137.1"/>
    <n v="151.9"/>
    <n v="137.4"/>
    <n v="142.4"/>
    <n v="124.2"/>
    <n v="140.19999999999999"/>
    <n v="136.6"/>
    <n v="120.9"/>
    <n v="109.9"/>
    <n v="140.19999999999999"/>
    <n v="137.80000000000001"/>
    <n v="156"/>
    <n v="138.5"/>
    <n v="162.4"/>
    <n v="151.6"/>
    <n v="145.9"/>
    <n v="150.80000000000001"/>
    <n v="0"/>
    <n v="149"/>
    <n v="149.5"/>
    <n v="149.6"/>
    <n v="128.9"/>
    <n v="143.30000000000001"/>
    <n v="155.1"/>
    <n v="133.19999999999999"/>
    <n v="141.6"/>
    <n v="136.3923076923077"/>
    <n v="152.85000000000002"/>
    <n v="74.75"/>
    <n v="141.39999999999998"/>
    <n v="149.43333333333334"/>
    <n v="141.9"/>
    <n v="-3.5112359550561797E-3"/>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4.35384615384615"/>
    <n v="148.14999999999998"/>
    <n v="141.35"/>
    <n v="134.05000000000001"/>
    <n v="137.93333333333334"/>
    <n v="138"/>
    <n v="-7.1942446043165471E-3"/>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35.59999999999997"/>
    <n v="149.9"/>
    <n v="144.85"/>
    <n v="138.55000000000001"/>
    <n v="144.76666666666668"/>
    <n v="140.1"/>
    <n v="-4.9715909090910296E-3"/>
  </r>
  <r>
    <x v="0"/>
    <x v="6"/>
    <x v="0"/>
    <n v="136.6"/>
    <n v="152.5"/>
    <n v="138.19999999999999"/>
    <n v="142.4"/>
    <n v="123.9"/>
    <n v="135.5"/>
    <n v="131.69999999999999"/>
    <n v="121.3"/>
    <n v="108.4"/>
    <n v="138.9"/>
    <n v="137"/>
    <n v="155.80000000000001"/>
    <n v="137.4"/>
    <n v="162.69999999999999"/>
    <n v="150.6"/>
    <n v="145.1"/>
    <n v="149.9"/>
    <n v="0"/>
    <n v="146.19999999999999"/>
    <n v="150.1"/>
    <n v="149.6"/>
    <n v="128.6"/>
    <n v="142.9"/>
    <n v="155.19999999999999"/>
    <n v="133.5"/>
    <n v="141.69999999999999"/>
    <n v="135.35384615384618"/>
    <n v="152.80000000000001"/>
    <n v="75.05"/>
    <n v="141.55000000000001"/>
    <n v="148.53333333333333"/>
    <n v="141"/>
    <n v="-6.3424947145877776E-3"/>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4.17692307692309"/>
    <n v="148.30000000000001"/>
    <n v="142"/>
    <n v="134.75"/>
    <n v="138.16666666666666"/>
    <n v="138"/>
    <n v="0"/>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4.87692307692308"/>
    <n v="149.94999999999999"/>
    <n v="145.64999999999998"/>
    <n v="138.94999999999999"/>
    <n v="144.33333333333334"/>
    <n v="139.6"/>
    <n v="-3.5688793718772309E-3"/>
  </r>
  <r>
    <x v="0"/>
    <x v="6"/>
    <x v="1"/>
    <n v="136.80000000000001"/>
    <n v="153"/>
    <n v="139.1"/>
    <n v="142.5"/>
    <n v="124.1"/>
    <n v="135.80000000000001"/>
    <n v="128.69999999999999"/>
    <n v="121.5"/>
    <n v="108.3"/>
    <n v="139.19999999999999"/>
    <n v="137.4"/>
    <n v="156.19999999999999"/>
    <n v="137.19999999999999"/>
    <n v="162.80000000000001"/>
    <n v="150.5"/>
    <n v="146.1"/>
    <n v="149.9"/>
    <n v="0"/>
    <n v="145.30000000000001"/>
    <n v="150.1"/>
    <n v="149.9"/>
    <n v="129.19999999999999"/>
    <n v="143.4"/>
    <n v="155.5"/>
    <n v="134.9"/>
    <n v="142.19999999999999"/>
    <n v="135.3692307692308"/>
    <n v="153.10000000000002"/>
    <n v="75.05"/>
    <n v="142.4"/>
    <n v="148.83333333333334"/>
    <n v="141"/>
    <n v="0"/>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4.95384615384617"/>
    <n v="148.55000000000001"/>
    <n v="142.55000000000001"/>
    <n v="135.75"/>
    <n v="138.5"/>
    <n v="138.6"/>
    <n v="4.3478260869564802E-3"/>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5.16153846153844"/>
    <n v="150.25"/>
    <n v="146.1"/>
    <n v="139.85"/>
    <n v="144.63333333333333"/>
    <n v="139.9"/>
    <n v="2.1489971346705687E-3"/>
  </r>
  <r>
    <x v="0"/>
    <x v="6"/>
    <x v="2"/>
    <n v="136.9"/>
    <n v="154.1"/>
    <n v="138.69999999999999"/>
    <n v="142.5"/>
    <n v="124.1"/>
    <n v="136.1"/>
    <n v="128.19999999999999"/>
    <n v="122.3"/>
    <n v="108.3"/>
    <n v="138.9"/>
    <n v="137.4"/>
    <n v="156.4"/>
    <n v="137.30000000000001"/>
    <n v="162.9"/>
    <n v="150.80000000000001"/>
    <n v="146.1"/>
    <n v="150.1"/>
    <n v="0"/>
    <n v="146.4"/>
    <n v="150"/>
    <n v="150.4"/>
    <n v="129.9"/>
    <n v="143.80000000000001"/>
    <n v="155.5"/>
    <n v="134"/>
    <n v="142.4"/>
    <n v="135.4769230769231"/>
    <n v="153.35000000000002"/>
    <n v="75"/>
    <n v="142.19999999999999"/>
    <n v="149"/>
    <n v="141.19999999999999"/>
    <n v="1.4184397163119762E-3"/>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6.03076923076924"/>
    <n v="149.15"/>
    <n v="142.9"/>
    <n v="135.85"/>
    <n v="138.76666666666665"/>
    <n v="139.5"/>
    <n v="6.4935064935065347E-3"/>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35.6076923076923"/>
    <n v="150.6"/>
    <n v="146.4"/>
    <n v="139.80000000000001"/>
    <n v="144.83333333333334"/>
    <n v="140.4"/>
    <n v="3.5739814152966403E-3"/>
  </r>
  <r>
    <x v="0"/>
    <x v="6"/>
    <x v="4"/>
    <n v="137.4"/>
    <n v="159.5"/>
    <n v="134.5"/>
    <n v="142.6"/>
    <n v="124"/>
    <n v="143.69999999999999"/>
    <n v="133.4"/>
    <n v="125.1"/>
    <n v="109.3"/>
    <n v="139.30000000000001"/>
    <n v="137.69999999999999"/>
    <n v="156.4"/>
    <n v="139.19999999999999"/>
    <n v="163.30000000000001"/>
    <n v="151.30000000000001"/>
    <n v="146.6"/>
    <n v="150.69999999999999"/>
    <n v="0"/>
    <n v="146.9"/>
    <n v="149.5"/>
    <n v="151.30000000000001"/>
    <n v="130.19999999999999"/>
    <n v="145.9"/>
    <n v="156.69999999999999"/>
    <n v="133.9"/>
    <n v="142.9"/>
    <n v="137.0846153846154"/>
    <n v="154.60000000000002"/>
    <n v="74.75"/>
    <n v="142.60000000000002"/>
    <n v="149.53333333333333"/>
    <n v="142.4"/>
    <n v="8.4985835694052214E-3"/>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39.34615384615387"/>
    <n v="150.1"/>
    <n v="143.64999999999998"/>
    <n v="136.19999999999999"/>
    <n v="139.29999999999998"/>
    <n v="141.5"/>
    <n v="1.4336917562724014E-2"/>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37.83846153846156"/>
    <n v="151.64999999999998"/>
    <n v="146.89999999999998"/>
    <n v="140.15"/>
    <n v="145.36666666666667"/>
    <n v="142"/>
    <n v="1.1396011396011355E-2"/>
  </r>
  <r>
    <x v="0"/>
    <x v="6"/>
    <x v="5"/>
    <n v="137.80000000000001"/>
    <n v="163.5"/>
    <n v="136.19999999999999"/>
    <n v="143.19999999999999"/>
    <n v="124.3"/>
    <n v="143.30000000000001"/>
    <n v="140.6"/>
    <n v="128.69999999999999"/>
    <n v="110.6"/>
    <n v="140.4"/>
    <n v="138"/>
    <n v="156.6"/>
    <n v="141"/>
    <n v="164.2"/>
    <n v="151.4"/>
    <n v="146.5"/>
    <n v="150.69999999999999"/>
    <n v="0"/>
    <n v="147.80000000000001"/>
    <n v="149.6"/>
    <n v="151.69999999999999"/>
    <n v="130.19999999999999"/>
    <n v="146.4"/>
    <n v="157.69999999999999"/>
    <n v="134.80000000000001"/>
    <n v="143.30000000000001"/>
    <n v="138.78461538461536"/>
    <n v="155.30000000000001"/>
    <n v="74.8"/>
    <n v="143.25"/>
    <n v="149.53333333333333"/>
    <n v="143.6"/>
    <n v="8.4269662921347514E-3"/>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1.0230769230769"/>
    <n v="150.5"/>
    <n v="143.4"/>
    <n v="137"/>
    <n v="139.46666666666667"/>
    <n v="142.1"/>
    <n v="4.2402826855123272E-3"/>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39.54615384615386"/>
    <n v="152.25"/>
    <n v="146.60000000000002"/>
    <n v="140.85000000000002"/>
    <n v="145.46666666666667"/>
    <n v="142.9"/>
    <n v="6.3380281690141246E-3"/>
  </r>
  <r>
    <x v="0"/>
    <x v="6"/>
    <x v="6"/>
    <n v="138.4"/>
    <n v="164"/>
    <n v="138.4"/>
    <n v="143.9"/>
    <n v="124.4"/>
    <n v="146.4"/>
    <n v="150.1"/>
    <n v="130.6"/>
    <n v="110.8"/>
    <n v="141.69999999999999"/>
    <n v="138.5"/>
    <n v="156.69999999999999"/>
    <n v="143"/>
    <n v="164.5"/>
    <n v="151.6"/>
    <n v="146.6"/>
    <n v="150.9"/>
    <n v="0"/>
    <n v="146.80000000000001"/>
    <n v="150"/>
    <n v="152.19999999999999"/>
    <n v="131.19999999999999"/>
    <n v="147.5"/>
    <n v="159.1"/>
    <n v="136.1"/>
    <n v="144.19999999999999"/>
    <n v="140.53076923076921"/>
    <n v="156"/>
    <n v="75"/>
    <n v="144.14999999999998"/>
    <n v="149.70000000000002"/>
    <n v="144.9"/>
    <n v="9.0529247910864311E-3"/>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2.87692307692308"/>
    <n v="151.1"/>
    <n v="144.14999999999998"/>
    <n v="137.94999999999999"/>
    <n v="139.76666666666668"/>
    <n v="143.30000000000001"/>
    <n v="8.4447572132302397E-3"/>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1.34615384615384"/>
    <n v="152.85"/>
    <n v="147.39999999999998"/>
    <n v="141.80000000000001"/>
    <n v="145.66666666666666"/>
    <n v="144.19999999999999"/>
    <n v="9.0972708187542547E-3"/>
  </r>
  <r>
    <x v="0"/>
    <x v="6"/>
    <x v="7"/>
    <n v="139.19999999999999"/>
    <n v="161.9"/>
    <n v="137.1"/>
    <n v="144.6"/>
    <n v="124.7"/>
    <n v="145.5"/>
    <n v="156.19999999999999"/>
    <n v="131.5"/>
    <n v="111.7"/>
    <n v="142.69999999999999"/>
    <n v="138.5"/>
    <n v="156.9"/>
    <n v="144"/>
    <n v="165.1"/>
    <n v="151.80000000000001"/>
    <n v="146.6"/>
    <n v="151.1"/>
    <n v="0"/>
    <n v="146.4"/>
    <n v="150.19999999999999"/>
    <n v="152.69999999999999"/>
    <n v="131.4"/>
    <n v="148"/>
    <n v="159.69999999999999"/>
    <n v="138.80000000000001"/>
    <n v="144.9"/>
    <n v="141.11538461538464"/>
    <n v="156.55000000000001"/>
    <n v="75.099999999999994"/>
    <n v="145.75"/>
    <n v="149.83333333333334"/>
    <n v="145.69999999999999"/>
    <n v="5.521048999309751E-3"/>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3.77692307692308"/>
    <n v="151.65"/>
    <n v="144.85"/>
    <n v="139.65"/>
    <n v="140.06666666666666"/>
    <n v="144.19999999999999"/>
    <n v="6.2805303558965608E-3"/>
  </r>
  <r>
    <x v="2"/>
    <x v="6"/>
    <x v="7"/>
    <n v="140.1"/>
    <n v="160.6"/>
    <n v="138.5"/>
    <n v="144.69999999999999"/>
    <n v="122.9"/>
    <n v="149.4"/>
    <n v="167.4"/>
    <n v="130.9"/>
    <n v="112"/>
    <n v="142.6"/>
    <n v="134.9"/>
    <n v="156.6"/>
    <n v="145.9"/>
    <n v="165.8"/>
    <n v="149.1"/>
    <n v="140.6"/>
    <n v="147.9"/>
    <n v="151.6"/>
    <n v="138.5"/>
    <n v="144.5"/>
    <n v="148.5"/>
    <n v="125.8"/>
    <n v="140.9"/>
    <n v="154.9"/>
    <n v="138.4"/>
    <n v="140.19999999999999"/>
    <n v="142.03846153846155"/>
    <n v="153.35000000000002"/>
    <n v="148.05000000000001"/>
    <n v="143.44999999999999"/>
    <n v="145.86666666666667"/>
    <n v="145"/>
    <n v="5.5478502080444619E-3"/>
  </r>
  <r>
    <x v="0"/>
    <x v="6"/>
    <x v="8"/>
    <n v="140.1"/>
    <n v="161.9"/>
    <n v="138.30000000000001"/>
    <n v="145.69999999999999"/>
    <n v="125.1"/>
    <n v="143.80000000000001"/>
    <n v="163.4"/>
    <n v="132.19999999999999"/>
    <n v="112.8"/>
    <n v="144.19999999999999"/>
    <n v="138.5"/>
    <n v="157.19999999999999"/>
    <n v="145.5"/>
    <n v="165.7"/>
    <n v="151.69999999999999"/>
    <n v="146.6"/>
    <n v="151"/>
    <n v="0"/>
    <n v="146.9"/>
    <n v="150.30000000000001"/>
    <n v="153.4"/>
    <n v="131.6"/>
    <n v="148.30000000000001"/>
    <n v="160.19999999999999"/>
    <n v="140.19999999999999"/>
    <n v="145.4"/>
    <n v="142.2076923076923"/>
    <n v="157"/>
    <n v="75.150000000000006"/>
    <n v="146.80000000000001"/>
    <n v="149.76666666666665"/>
    <n v="146.69999999999999"/>
    <n v="6.8634179821551134E-3"/>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22307692307692"/>
    <n v="152.25"/>
    <n v="145.25"/>
    <n v="140.44999999999999"/>
    <n v="140.26666666666668"/>
    <n v="144.69999999999999"/>
    <n v="3.4674063800277394E-3"/>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2.89999999999998"/>
    <n v="153.9"/>
    <n v="148.39999999999998"/>
    <n v="144.35"/>
    <n v="145.89999999999998"/>
    <n v="145.80000000000001"/>
    <n v="5.5172413793104233E-3"/>
  </r>
  <r>
    <x v="0"/>
    <x v="6"/>
    <x v="9"/>
    <n v="141"/>
    <n v="161.6"/>
    <n v="141.19999999999999"/>
    <n v="146.5"/>
    <n v="125.6"/>
    <n v="145.69999999999999"/>
    <n v="178.8"/>
    <n v="133.1"/>
    <n v="113.6"/>
    <n v="145.5"/>
    <n v="138.6"/>
    <n v="157.4"/>
    <n v="148.30000000000001"/>
    <n v="166.3"/>
    <n v="151.69999999999999"/>
    <n v="146.69999999999999"/>
    <n v="151"/>
    <n v="0"/>
    <n v="147.69999999999999"/>
    <n v="150.6"/>
    <n v="153.69999999999999"/>
    <n v="131.69999999999999"/>
    <n v="148.69999999999999"/>
    <n v="160.69999999999999"/>
    <n v="140.30000000000001"/>
    <n v="145.69999999999999"/>
    <n v="144.37692307692305"/>
    <n v="157.5"/>
    <n v="75.3"/>
    <n v="147"/>
    <n v="149.79999999999998"/>
    <n v="148.30000000000001"/>
    <n v="1.0906612133606155E-2"/>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35384615384618"/>
    <n v="152.75"/>
    <n v="145.85"/>
    <n v="140.94999999999999"/>
    <n v="140.73333333333335"/>
    <n v="146"/>
    <n v="8.9841050449206046E-3"/>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5.04615384615383"/>
    <n v="154.39999999999998"/>
    <n v="149"/>
    <n v="144.69999999999999"/>
    <n v="146.13333333333335"/>
    <n v="147.19999999999999"/>
    <n v="9.6021947873798155E-3"/>
  </r>
  <r>
    <x v="0"/>
    <x v="6"/>
    <x v="10"/>
    <n v="141.80000000000001"/>
    <n v="163.69999999999999"/>
    <n v="143.80000000000001"/>
    <n v="147.1"/>
    <n v="126"/>
    <n v="146.19999999999999"/>
    <n v="191.4"/>
    <n v="136.19999999999999"/>
    <n v="113.8"/>
    <n v="147.30000000000001"/>
    <n v="138.69999999999999"/>
    <n v="157.69999999999999"/>
    <n v="150.9"/>
    <n v="167.2"/>
    <n v="152.30000000000001"/>
    <n v="147"/>
    <n v="151.5"/>
    <n v="0"/>
    <n v="148.4"/>
    <n v="150.9"/>
    <n v="154.30000000000001"/>
    <n v="132.1"/>
    <n v="149.1"/>
    <n v="160.80000000000001"/>
    <n v="140.6"/>
    <n v="146.1"/>
    <n v="146.50769230769231"/>
    <n v="158.14999999999998"/>
    <n v="75.45"/>
    <n v="147.44999999999999"/>
    <n v="150.26666666666668"/>
    <n v="149.9"/>
    <n v="1.0788941335131452E-2"/>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99999999999997"/>
    <n v="153.30000000000001"/>
    <n v="146.30000000000001"/>
    <n v="141.30000000000001"/>
    <n v="141.03333333333333"/>
    <n v="147"/>
    <n v="6.8493150684931503E-3"/>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6.99230769230769"/>
    <n v="155"/>
    <n v="149.4"/>
    <n v="145.10000000000002"/>
    <n v="146.5"/>
    <n v="148.6"/>
    <n v="9.5108695652174301E-3"/>
  </r>
  <r>
    <x v="0"/>
    <x v="6"/>
    <x v="11"/>
    <n v="142.80000000000001"/>
    <n v="165.3"/>
    <n v="149.5"/>
    <n v="148.69999999999999"/>
    <n v="127.5"/>
    <n v="144.30000000000001"/>
    <n v="209.5"/>
    <n v="138.80000000000001"/>
    <n v="113.6"/>
    <n v="149.1"/>
    <n v="139.30000000000001"/>
    <n v="158.30000000000001"/>
    <n v="154.30000000000001"/>
    <n v="167.8"/>
    <n v="152.6"/>
    <n v="147.30000000000001"/>
    <n v="151.9"/>
    <n v="0"/>
    <n v="149.9"/>
    <n v="151.19999999999999"/>
    <n v="154.80000000000001"/>
    <n v="135"/>
    <n v="149.5"/>
    <n v="161.1"/>
    <n v="140.6"/>
    <n v="147.1"/>
    <n v="149.30769230769226"/>
    <n v="158.65"/>
    <n v="75.599999999999994"/>
    <n v="147.69999999999999"/>
    <n v="150.6"/>
    <n v="152.30000000000001"/>
    <n v="1.6010673782521717E-2"/>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50.51538461538462"/>
    <n v="153.60000000000002"/>
    <n v="146.30000000000001"/>
    <n v="141.69999999999999"/>
    <n v="141.4"/>
    <n v="148.30000000000001"/>
    <n v="8.8435374149660635E-3"/>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49.70000000000002"/>
    <n v="155.4"/>
    <n v="149.30000000000001"/>
    <n v="145.4"/>
    <n v="146.86666666666667"/>
    <n v="150.4"/>
    <n v="1.2113055181695904E-2"/>
  </r>
  <r>
    <x v="0"/>
    <x v="7"/>
    <x v="0"/>
    <n v="143.69999999999999"/>
    <n v="167.3"/>
    <n v="153.5"/>
    <n v="150.5"/>
    <n v="132"/>
    <n v="142.19999999999999"/>
    <n v="191.5"/>
    <n v="141.1"/>
    <n v="113.8"/>
    <n v="151.6"/>
    <n v="139.69999999999999"/>
    <n v="158.69999999999999"/>
    <n v="153"/>
    <n v="168.6"/>
    <n v="152.80000000000001"/>
    <n v="147.4"/>
    <n v="152.1"/>
    <n v="0"/>
    <n v="150.4"/>
    <n v="151.69999999999999"/>
    <n v="155.69999999999999"/>
    <n v="136.30000000000001"/>
    <n v="150.1"/>
    <n v="161.69999999999999"/>
    <n v="142.5"/>
    <n v="148.1"/>
    <n v="149.12307692307692"/>
    <n v="159.35"/>
    <n v="75.849999999999994"/>
    <n v="149.1"/>
    <n v="150.76666666666668"/>
    <n v="151.9"/>
    <n v="-2.6263952724885466E-3"/>
  </r>
  <r>
    <x v="1"/>
    <x v="7"/>
    <x v="0"/>
    <n v="145.6"/>
    <n v="167.6"/>
    <n v="157"/>
    <n v="149.30000000000001"/>
    <n v="126.3"/>
    <n v="144.4"/>
    <n v="207.8"/>
    <n v="139.1"/>
    <n v="114.8"/>
    <n v="149.5"/>
    <n v="131.1"/>
    <n v="158.5"/>
    <n v="154.4"/>
    <n v="170.8"/>
    <n v="147"/>
    <n v="133.19999999999999"/>
    <n v="144.9"/>
    <n v="153.9"/>
    <n v="135.1"/>
    <n v="140.1"/>
    <n v="143.80000000000001"/>
    <n v="126.1"/>
    <n v="137.19999999999999"/>
    <n v="152.1"/>
    <n v="142.1"/>
    <n v="138.4"/>
    <n v="149.64615384615382"/>
    <n v="154"/>
    <n v="147"/>
    <n v="142.94999999999999"/>
    <n v="141.70000000000002"/>
    <n v="148.19999999999999"/>
    <n v="-6.7430883344587144E-4"/>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49.26153846153846"/>
    <n v="156"/>
    <n v="150.05000000000001"/>
    <n v="146.75"/>
    <n v="147.06666666666666"/>
    <n v="150.19999999999999"/>
    <n v="-1.3297872340426666E-3"/>
  </r>
  <r>
    <x v="0"/>
    <x v="7"/>
    <x v="1"/>
    <n v="144.19999999999999"/>
    <n v="167.5"/>
    <n v="150.9"/>
    <n v="150.9"/>
    <n v="133.69999999999999"/>
    <n v="140.69999999999999"/>
    <n v="165.1"/>
    <n v="141.80000000000001"/>
    <n v="113.1"/>
    <n v="152.80000000000001"/>
    <n v="140.1"/>
    <n v="159.19999999999999"/>
    <n v="149.80000000000001"/>
    <n v="169.4"/>
    <n v="153"/>
    <n v="147.5"/>
    <n v="152.30000000000001"/>
    <n v="0"/>
    <n v="152.30000000000001"/>
    <n v="151.80000000000001"/>
    <n v="156.19999999999999"/>
    <n v="136"/>
    <n v="150.4"/>
    <n v="161.9"/>
    <n v="143.4"/>
    <n v="148.4"/>
    <n v="146.90769230769229"/>
    <n v="159.9"/>
    <n v="75.900000000000006"/>
    <n v="149.80000000000001"/>
    <n v="150.93333333333334"/>
    <n v="150.4"/>
    <n v="-9.8749177090190904E-3"/>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43076923076922"/>
    <n v="154.85"/>
    <n v="147.60000000000002"/>
    <n v="143.94999999999999"/>
    <n v="142"/>
    <n v="147.69999999999999"/>
    <n v="-3.3738191632928477E-3"/>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7.04615384615383"/>
    <n v="156.64999999999998"/>
    <n v="150.60000000000002"/>
    <n v="147.55000000000001"/>
    <n v="147.33333333333334"/>
    <n v="149.1"/>
    <n v="-7.3235685752329853E-3"/>
  </r>
  <r>
    <x v="0"/>
    <x v="7"/>
    <x v="2"/>
    <n v="144.4"/>
    <n v="166.8"/>
    <n v="147.6"/>
    <n v="151.69999999999999"/>
    <n v="133.30000000000001"/>
    <n v="141.80000000000001"/>
    <n v="152.30000000000001"/>
    <n v="141.80000000000001"/>
    <n v="112.6"/>
    <n v="154"/>
    <n v="140.1"/>
    <n v="160"/>
    <n v="148.19999999999999"/>
    <n v="170.5"/>
    <n v="153.4"/>
    <n v="147.6"/>
    <n v="152.5"/>
    <n v="0"/>
    <n v="153.4"/>
    <n v="151.5"/>
    <n v="156.69999999999999"/>
    <n v="135.80000000000001"/>
    <n v="151.19999999999999"/>
    <n v="161.19999999999999"/>
    <n v="145.1"/>
    <n v="148.6"/>
    <n v="145.73846153846151"/>
    <n v="160.85"/>
    <n v="75.75"/>
    <n v="150.89999999999998"/>
    <n v="151.16666666666666"/>
    <n v="149.80000000000001"/>
    <n v="-3.989361702127622E-3"/>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6.03846153846155"/>
    <n v="155.60000000000002"/>
    <n v="147.65"/>
    <n v="145.15"/>
    <n v="142.36666666666667"/>
    <n v="147.30000000000001"/>
    <n v="-2.7081922816518437E-3"/>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5.80000000000001"/>
    <n v="157.44999999999999"/>
    <n v="150.44999999999999"/>
    <n v="148.75"/>
    <n v="147.63333333333335"/>
    <n v="148.6"/>
    <n v="-3.3534540576794099E-3"/>
  </r>
  <r>
    <x v="0"/>
    <x v="7"/>
    <x v="3"/>
    <n v="147.19999999999999"/>
    <n v="156.26"/>
    <n v="146.9"/>
    <n v="155.6"/>
    <n v="137.1"/>
    <n v="147.30000000000001"/>
    <n v="162.69999999999999"/>
    <n v="150.19999999999999"/>
    <n v="119.8"/>
    <n v="158.69999999999999"/>
    <n v="139.19999999999999"/>
    <n v="149.08000000000001"/>
    <n v="150.1"/>
    <n v="155.38"/>
    <n v="142.66"/>
    <n v="135.97"/>
    <n v="141.66999999999999"/>
    <n v="0"/>
    <n v="148.4"/>
    <n v="136.68"/>
    <n v="154.30000000000001"/>
    <n v="127.17"/>
    <n v="133.88999999999999"/>
    <n v="141.13"/>
    <n v="133.35"/>
    <n v="134.22999999999999"/>
    <n v="147.70307692307694"/>
    <n v="144.63499999999999"/>
    <n v="68.34"/>
    <n v="143.82499999999999"/>
    <n v="140.1"/>
    <n v="139.56"/>
    <n v="-6.8357810413885237E-2"/>
  </r>
  <r>
    <x v="1"/>
    <x v="7"/>
    <x v="3"/>
    <n v="151.80000000000001"/>
    <n v="156.26"/>
    <n v="151.9"/>
    <n v="155.5"/>
    <n v="131.6"/>
    <n v="152.9"/>
    <n v="180"/>
    <n v="150.80000000000001"/>
    <n v="121.2"/>
    <n v="154"/>
    <n v="133.5"/>
    <n v="149.08000000000001"/>
    <n v="153.5"/>
    <n v="155.38"/>
    <n v="142.66"/>
    <n v="135.97"/>
    <n v="141.66999999999999"/>
    <n v="155.6"/>
    <n v="137.1"/>
    <n v="136.68"/>
    <n v="144.80000000000001"/>
    <n v="127.17"/>
    <n v="133.88999999999999"/>
    <n v="141.13"/>
    <n v="133.35"/>
    <n v="134.22999999999999"/>
    <n v="149.3876923076923"/>
    <n v="144.63499999999999"/>
    <n v="146.13999999999999"/>
    <n v="139.07499999999999"/>
    <n v="140.1"/>
    <n v="139.56"/>
    <n v="-5.2545824847250566E-2"/>
  </r>
  <r>
    <x v="2"/>
    <x v="7"/>
    <x v="3"/>
    <n v="148.69999999999999"/>
    <n v="156.26"/>
    <n v="148.80000000000001"/>
    <n v="155.6"/>
    <n v="135.1"/>
    <n v="149.9"/>
    <n v="168.6"/>
    <n v="150.4"/>
    <n v="120.3"/>
    <n v="157.1"/>
    <n v="136.80000000000001"/>
    <n v="149.08000000000001"/>
    <n v="151.4"/>
    <n v="155.38"/>
    <n v="142.66"/>
    <n v="135.97"/>
    <n v="141.66999999999999"/>
    <n v="155.6"/>
    <n v="144.1"/>
    <n v="136.68"/>
    <n v="150.69999999999999"/>
    <n v="127.17"/>
    <n v="133.88999999999999"/>
    <n v="141.13"/>
    <n v="133.35"/>
    <n v="134.22999999999999"/>
    <n v="148.31076923076924"/>
    <n v="144.63499999999999"/>
    <n v="146.13999999999999"/>
    <n v="142.02499999999998"/>
    <n v="140.1"/>
    <n v="139.56"/>
    <n v="-6.0834454912516774E-2"/>
  </r>
  <r>
    <x v="0"/>
    <x v="7"/>
    <x v="4"/>
    <n v="136.68"/>
    <n v="156.26"/>
    <n v="140.79"/>
    <n v="140.32"/>
    <n v="132.12"/>
    <n v="140.84"/>
    <n v="155.75"/>
    <n v="141.43"/>
    <n v="110.92"/>
    <n v="144.52000000000001"/>
    <n v="134.09"/>
    <n v="149.08000000000001"/>
    <n v="142.51"/>
    <n v="155.38"/>
    <n v="142.66"/>
    <n v="135.97"/>
    <n v="141.66999999999999"/>
    <n v="0"/>
    <n v="136.51"/>
    <n v="136.68"/>
    <n v="138.51"/>
    <n v="127.17"/>
    <n v="133.88999999999999"/>
    <n v="141.13"/>
    <n v="133.35"/>
    <n v="134.22999999999999"/>
    <n v="140.40846153846152"/>
    <n v="144.63499999999999"/>
    <n v="68.34"/>
    <n v="135.93"/>
    <n v="140.1"/>
    <n v="139.56"/>
    <n v="0"/>
  </r>
  <r>
    <x v="1"/>
    <x v="7"/>
    <x v="4"/>
    <n v="136.68"/>
    <n v="156.26"/>
    <n v="140.79"/>
    <n v="140.32"/>
    <n v="132.12"/>
    <n v="140.84"/>
    <n v="155.75"/>
    <n v="141.43"/>
    <n v="110.92"/>
    <n v="144.52000000000001"/>
    <n v="134.09"/>
    <n v="149.08000000000001"/>
    <n v="142.51"/>
    <n v="155.38"/>
    <n v="142.66"/>
    <n v="135.97"/>
    <n v="141.66999999999999"/>
    <n v="0"/>
    <n v="136.51"/>
    <n v="136.68"/>
    <n v="138.51"/>
    <n v="127.17"/>
    <n v="133.88999999999999"/>
    <n v="141.13"/>
    <n v="133.35"/>
    <n v="134.22999999999999"/>
    <n v="140.40846153846152"/>
    <n v="144.63499999999999"/>
    <n v="68.34"/>
    <n v="135.93"/>
    <n v="140.1"/>
    <n v="139.56"/>
    <n v="0"/>
  </r>
  <r>
    <x v="2"/>
    <x v="7"/>
    <x v="4"/>
    <n v="136.68"/>
    <n v="156.26"/>
    <n v="140.79"/>
    <n v="140.32"/>
    <n v="132.12"/>
    <n v="140.84"/>
    <n v="155.75"/>
    <n v="141.43"/>
    <n v="110.92"/>
    <n v="144.52000000000001"/>
    <n v="134.09"/>
    <n v="149.08000000000001"/>
    <n v="142.51"/>
    <n v="155.38"/>
    <n v="142.66"/>
    <n v="135.97"/>
    <n v="141.66999999999999"/>
    <n v="0"/>
    <n v="136.51"/>
    <n v="136.68"/>
    <n v="138.51"/>
    <n v="127.17"/>
    <n v="133.88999999999999"/>
    <n v="141.13"/>
    <n v="133.35"/>
    <n v="134.22999999999999"/>
    <n v="140.40846153846152"/>
    <n v="144.63499999999999"/>
    <n v="68.34"/>
    <n v="135.93"/>
    <n v="140.1"/>
    <n v="139.56"/>
    <n v="0"/>
  </r>
  <r>
    <x v="0"/>
    <x v="7"/>
    <x v="5"/>
    <n v="148.19999999999999"/>
    <n v="190.3"/>
    <n v="149.4"/>
    <n v="153.30000000000001"/>
    <n v="138.19999999999999"/>
    <n v="143.19999999999999"/>
    <n v="148.9"/>
    <n v="150.30000000000001"/>
    <n v="113.2"/>
    <n v="159.80000000000001"/>
    <n v="142.1"/>
    <n v="161.80000000000001"/>
    <n v="152.30000000000001"/>
    <n v="182.4"/>
    <n v="154.69999999999999"/>
    <n v="150"/>
    <n v="154.1"/>
    <n v="0"/>
    <n v="144.9"/>
    <n v="151.69999999999999"/>
    <n v="158.19999999999999"/>
    <n v="141.4"/>
    <n v="153.19999999999999"/>
    <n v="161.80000000000001"/>
    <n v="151.19999999999999"/>
    <n v="151.69999999999999"/>
    <n v="150.07692307692307"/>
    <n v="167.8"/>
    <n v="75.849999999999994"/>
    <n v="154.69999999999999"/>
    <n v="152.93333333333331"/>
    <n v="152.69999999999999"/>
    <n v="9.41530524505588E-2"/>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3.46153846153845"/>
    <n v="165.6"/>
    <n v="147.55000000000001"/>
    <n v="150.14999999999998"/>
    <n v="144.29999999999998"/>
    <n v="150.80000000000001"/>
    <n v="8.05388363427917E-2"/>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2923076923077"/>
    <n v="165.9"/>
    <n v="150.55000000000001"/>
    <n v="153"/>
    <n v="149.43333333333331"/>
    <n v="151.80000000000001"/>
    <n v="8.7704213241616577E-2"/>
  </r>
  <r>
    <x v="0"/>
    <x v="7"/>
    <x v="6"/>
    <n v="148.19999999999999"/>
    <n v="190.3"/>
    <n v="149.4"/>
    <n v="153.30000000000001"/>
    <n v="138.19999999999999"/>
    <n v="143.19999999999999"/>
    <n v="148.9"/>
    <n v="150.30000000000001"/>
    <n v="113.2"/>
    <n v="159.80000000000001"/>
    <n v="142.1"/>
    <n v="161.80000000000001"/>
    <n v="152.30000000000001"/>
    <n v="182.4"/>
    <n v="154.69999999999999"/>
    <n v="150"/>
    <n v="154.1"/>
    <n v="0"/>
    <n v="144.9"/>
    <n v="151.69999999999999"/>
    <n v="158.19999999999999"/>
    <n v="141.4"/>
    <n v="153.19999999999999"/>
    <n v="161.80000000000001"/>
    <n v="151.19999999999999"/>
    <n v="151.69999999999999"/>
    <n v="150.07692307692307"/>
    <n v="167.8"/>
    <n v="75.849999999999994"/>
    <n v="154.69999999999999"/>
    <n v="152.93333333333331"/>
    <n v="152.69999999999999"/>
    <n v="0"/>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3.46153846153845"/>
    <n v="165.6"/>
    <n v="147.55000000000001"/>
    <n v="150.14999999999998"/>
    <n v="144.29999999999998"/>
    <n v="150.80000000000001"/>
    <n v="0"/>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2923076923077"/>
    <n v="165.9"/>
    <n v="150.55000000000001"/>
    <n v="153"/>
    <n v="149.43333333333331"/>
    <n v="151.80000000000001"/>
    <n v="0"/>
  </r>
  <r>
    <x v="0"/>
    <x v="7"/>
    <x v="7"/>
    <n v="147.6"/>
    <n v="187.2"/>
    <n v="148.4"/>
    <n v="153.30000000000001"/>
    <n v="139.80000000000001"/>
    <n v="146.9"/>
    <n v="171"/>
    <n v="149.9"/>
    <n v="114.2"/>
    <n v="160"/>
    <n v="143.5"/>
    <n v="161.5"/>
    <n v="155.30000000000001"/>
    <n v="180.9"/>
    <n v="155.1"/>
    <n v="149.30000000000001"/>
    <n v="154.30000000000001"/>
    <n v="0"/>
    <n v="145.80000000000001"/>
    <n v="151.9"/>
    <n v="158.80000000000001"/>
    <n v="143.6"/>
    <n v="152.19999999999999"/>
    <n v="162.69999999999999"/>
    <n v="153.6"/>
    <n v="153"/>
    <n v="152.19999999999999"/>
    <n v="166.55"/>
    <n v="75.95"/>
    <n v="156.19999999999999"/>
    <n v="152.9"/>
    <n v="154.69999999999999"/>
    <n v="1.3097576948264572E-2"/>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5.76153846153846"/>
    <n v="164.2"/>
    <n v="150"/>
    <n v="151.94999999999999"/>
    <n v="144.33333333333334"/>
    <n v="152.9"/>
    <n v="1.3925729442970783E-2"/>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47692307692307"/>
    <n v="164.3"/>
    <n v="151.94999999999999"/>
    <n v="154.65"/>
    <n v="149.4"/>
    <n v="153.9"/>
    <n v="1.3833992094861622E-2"/>
  </r>
  <r>
    <x v="0"/>
    <x v="7"/>
    <x v="8"/>
    <n v="146.9"/>
    <n v="183.9"/>
    <n v="149.5"/>
    <n v="153.4"/>
    <n v="140.4"/>
    <n v="147"/>
    <n v="178.8"/>
    <n v="149.30000000000001"/>
    <n v="115.1"/>
    <n v="160"/>
    <n v="145.4"/>
    <n v="161.6"/>
    <n v="156.1"/>
    <n v="182.9"/>
    <n v="155.4"/>
    <n v="149.9"/>
    <n v="154.6"/>
    <n v="0"/>
    <n v="146.4"/>
    <n v="151.6"/>
    <n v="159.1"/>
    <n v="144.6"/>
    <n v="152.80000000000001"/>
    <n v="161.1"/>
    <n v="157.4"/>
    <n v="153.69999999999999"/>
    <n v="152.87692307692308"/>
    <n v="167.85000000000002"/>
    <n v="75.8"/>
    <n v="158.25"/>
    <n v="153.29999999999998"/>
    <n v="155.4"/>
    <n v="4.5248868778281649E-3"/>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7.04615384615386"/>
    <n v="165.25"/>
    <n v="150.85000000000002"/>
    <n v="154.9"/>
    <n v="144.86666666666667"/>
    <n v="154"/>
    <n v="7.194244604316509E-3"/>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38461538461539"/>
    <n v="165.5"/>
    <n v="152.5"/>
    <n v="157"/>
    <n v="149.9"/>
    <n v="154.69999999999999"/>
    <n v="5.1981806367770167E-3"/>
  </r>
  <r>
    <x v="0"/>
    <x v="7"/>
    <x v="9"/>
    <n v="146"/>
    <n v="186.3"/>
    <n v="159.19999999999999"/>
    <n v="153.6"/>
    <n v="142.6"/>
    <n v="147.19999999999999"/>
    <n v="200.6"/>
    <n v="150.30000000000001"/>
    <n v="115.3"/>
    <n v="160.9"/>
    <n v="147.4"/>
    <n v="161.9"/>
    <n v="159.6"/>
    <n v="182.7"/>
    <n v="155.69999999999999"/>
    <n v="150.6"/>
    <n v="155"/>
    <n v="0"/>
    <n v="146.80000000000001"/>
    <n v="152"/>
    <n v="159.5"/>
    <n v="146.4"/>
    <n v="152.4"/>
    <n v="162.5"/>
    <n v="156.19999999999999"/>
    <n v="154.30000000000001"/>
    <n v="156.22307692307692"/>
    <n v="167.55"/>
    <n v="76"/>
    <n v="157.85"/>
    <n v="153.76666666666665"/>
    <n v="157.5"/>
    <n v="1.3513513513513476E-2"/>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60.01538461538459"/>
    <n v="165.35"/>
    <n v="150.80000000000001"/>
    <n v="154.55000000000001"/>
    <n v="144.96666666666667"/>
    <n v="155.19999999999999"/>
    <n v="7.7922077922077185E-3"/>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7.5846153846154"/>
    <n v="165.4"/>
    <n v="152.6"/>
    <n v="156.65"/>
    <n v="150.19999999999999"/>
    <n v="156.4"/>
    <n v="1.0989010989011101E-2"/>
  </r>
  <r>
    <x v="0"/>
    <x v="7"/>
    <x v="10"/>
    <n v="145.4"/>
    <n v="188.6"/>
    <n v="171.6"/>
    <n v="153.80000000000001"/>
    <n v="145.4"/>
    <n v="146.5"/>
    <n v="222.2"/>
    <n v="155.9"/>
    <n v="114.9"/>
    <n v="162"/>
    <n v="150"/>
    <n v="162.69999999999999"/>
    <n v="163.4"/>
    <n v="183.4"/>
    <n v="156.30000000000001"/>
    <n v="151"/>
    <n v="155.5"/>
    <n v="0"/>
    <n v="147.5"/>
    <n v="152.80000000000001"/>
    <n v="160.4"/>
    <n v="146.1"/>
    <n v="153.6"/>
    <n v="161.6"/>
    <n v="156.19999999999999"/>
    <n v="154.5"/>
    <n v="160.1846153846154"/>
    <n v="168.5"/>
    <n v="76.400000000000006"/>
    <n v="158.30000000000001"/>
    <n v="154.26666666666668"/>
    <n v="159.80000000000001"/>
    <n v="1.4603174603174675E-2"/>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63.1307692307692"/>
    <n v="166.60000000000002"/>
    <n v="151.55000000000001"/>
    <n v="154.94999999999999"/>
    <n v="145.43333333333334"/>
    <n v="156.69999999999999"/>
    <n v="9.6649484536082478E-3"/>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61.19999999999999"/>
    <n v="166.60000000000002"/>
    <n v="153.6"/>
    <n v="157.05000000000001"/>
    <n v="150.66666666666669"/>
    <n v="158.4"/>
    <n v="1.278772378516624E-2"/>
  </r>
  <r>
    <x v="0"/>
    <x v="7"/>
    <x v="11"/>
    <n v="144.6"/>
    <n v="188.5"/>
    <n v="173.4"/>
    <n v="154"/>
    <n v="150"/>
    <n v="145.9"/>
    <n v="225.2"/>
    <n v="159.5"/>
    <n v="114.4"/>
    <n v="163.5"/>
    <n v="153.4"/>
    <n v="163.6"/>
    <n v="164.5"/>
    <n v="183.6"/>
    <n v="157"/>
    <n v="151.6"/>
    <n v="156.30000000000001"/>
    <n v="0"/>
    <n v="148.69999999999999"/>
    <n v="153.4"/>
    <n v="161.6"/>
    <n v="146.4"/>
    <n v="153.9"/>
    <n v="162.9"/>
    <n v="156.6"/>
    <n v="155.19999999999999"/>
    <n v="161.57692307692307"/>
    <n v="168.75"/>
    <n v="76.7"/>
    <n v="159.1"/>
    <n v="154.96666666666667"/>
    <n v="160.69999999999999"/>
    <n v="5.6320400500624356E-3"/>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63.49230769230769"/>
    <n v="167.25"/>
    <n v="151.94999999999999"/>
    <n v="155.4"/>
    <n v="146.06666666666669"/>
    <n v="156.9"/>
    <n v="1.2763241863434401E-3"/>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62.23846153846154"/>
    <n v="166.95"/>
    <n v="154.05000000000001"/>
    <n v="157.69999999999999"/>
    <n v="151.33333333333334"/>
    <n v="158.9"/>
    <n v="3.1565656565656565E-3"/>
  </r>
  <r>
    <x v="0"/>
    <x v="8"/>
    <x v="0"/>
    <n v="143.4"/>
    <n v="187.5"/>
    <n v="173.4"/>
    <n v="154"/>
    <n v="154.80000000000001"/>
    <n v="147"/>
    <n v="187.8"/>
    <n v="159.5"/>
    <n v="113.8"/>
    <n v="164.5"/>
    <n v="156.1"/>
    <n v="164.3"/>
    <n v="159.6"/>
    <n v="184.6"/>
    <n v="157.5"/>
    <n v="152.4"/>
    <n v="156.80000000000001"/>
    <n v="0"/>
    <n v="150.9"/>
    <n v="153.9"/>
    <n v="162.5"/>
    <n v="147.5"/>
    <n v="155.1"/>
    <n v="163.5"/>
    <n v="156.19999999999999"/>
    <n v="155.9"/>
    <n v="158.89999999999998"/>
    <n v="169.85"/>
    <n v="76.95"/>
    <n v="159.35"/>
    <n v="155.56666666666666"/>
    <n v="158.5"/>
    <n v="-1.3690105787181012E-2"/>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61.30769230769232"/>
    <n v="168.60000000000002"/>
    <n v="151.69999999999999"/>
    <n v="155.89999999999998"/>
    <n v="146.66666666666666"/>
    <n v="156"/>
    <n v="-5.7361376673040511E-3"/>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9.73076923076923"/>
    <n v="168.05"/>
    <n v="153.85"/>
    <n v="158.05000000000001"/>
    <n v="151.93333333333334"/>
    <n v="157.30000000000001"/>
    <n v="-1.006922592825673E-2"/>
  </r>
  <r>
    <x v="0"/>
    <x v="8"/>
    <x v="1"/>
    <n v="142.80000000000001"/>
    <n v="184"/>
    <n v="168"/>
    <n v="154.4"/>
    <n v="163"/>
    <n v="147.80000000000001"/>
    <n v="149.69999999999999"/>
    <n v="158.30000000000001"/>
    <n v="111.8"/>
    <n v="165"/>
    <n v="160"/>
    <n v="165.8"/>
    <n v="154.69999999999999"/>
    <n v="186.5"/>
    <n v="159.1"/>
    <n v="153.9"/>
    <n v="158.4"/>
    <n v="0"/>
    <n v="154.4"/>
    <n v="154.80000000000001"/>
    <n v="164.3"/>
    <n v="150.19999999999999"/>
    <n v="157"/>
    <n v="163.6"/>
    <n v="155.19999999999999"/>
    <n v="157.19999999999999"/>
    <n v="155.7923076923077"/>
    <n v="171.75"/>
    <n v="77.400000000000006"/>
    <n v="159.75"/>
    <n v="157.13333333333333"/>
    <n v="156.69999999999999"/>
    <n v="-1.135646687697168E-2"/>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8.92307692307693"/>
    <n v="170.3"/>
    <n v="153.15"/>
    <n v="156.5"/>
    <n v="148.06666666666666"/>
    <n v="156.5"/>
    <n v="3.205128205128205E-3"/>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8692307692308"/>
    <n v="169.9"/>
    <n v="155.35000000000002"/>
    <n v="158.55000000000001"/>
    <n v="153.46666666666667"/>
    <n v="156.6"/>
    <n v="-4.4500953591863762E-3"/>
  </r>
  <r>
    <x v="0"/>
    <x v="8"/>
    <x v="2"/>
    <n v="142.5"/>
    <n v="189.4"/>
    <n v="163.19999999999999"/>
    <n v="154.5"/>
    <n v="168.2"/>
    <n v="150.5"/>
    <n v="141"/>
    <n v="159.19999999999999"/>
    <n v="111.7"/>
    <n v="164"/>
    <n v="160.6"/>
    <n v="166.4"/>
    <n v="154.5"/>
    <n v="186.1"/>
    <n v="159.6"/>
    <n v="154.4"/>
    <n v="158.9"/>
    <n v="0"/>
    <n v="156"/>
    <n v="154.80000000000001"/>
    <n v="164.6"/>
    <n v="151.30000000000001"/>
    <n v="157.80000000000001"/>
    <n v="163.80000000000001"/>
    <n v="153.1"/>
    <n v="157.30000000000001"/>
    <n v="155.82307692307694"/>
    <n v="171.95"/>
    <n v="77.400000000000006"/>
    <n v="158.85"/>
    <n v="157.63333333333333"/>
    <n v="156.69999999999999"/>
    <n v="0"/>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8.80769230769226"/>
    <n v="171.05"/>
    <n v="153.55000000000001"/>
    <n v="155.9"/>
    <n v="148.79999999999998"/>
    <n v="156.9"/>
    <n v="2.5559105431310269E-3"/>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7692307692308"/>
    <n v="170.35"/>
    <n v="155.55000000000001"/>
    <n v="157.75"/>
    <n v="154.03333333333333"/>
    <n v="156.80000000000001"/>
    <n v="1.2771392081737999E-3"/>
  </r>
  <r>
    <x v="0"/>
    <x v="8"/>
    <x v="3"/>
    <n v="142.69999999999999"/>
    <n v="195.5"/>
    <n v="163.4"/>
    <n v="155"/>
    <n v="175.2"/>
    <n v="160.6"/>
    <n v="135.1"/>
    <n v="161.1"/>
    <n v="112.2"/>
    <n v="164.4"/>
    <n v="161.9"/>
    <n v="166.8"/>
    <n v="155.6"/>
    <n v="186.8"/>
    <n v="160.69999999999999"/>
    <n v="155.1"/>
    <n v="159.9"/>
    <n v="0"/>
    <n v="156"/>
    <n v="155.5"/>
    <n v="165.3"/>
    <n v="151.69999999999999"/>
    <n v="158.6"/>
    <n v="164.1"/>
    <n v="154.6"/>
    <n v="158"/>
    <n v="157.65384615384616"/>
    <n v="172.7"/>
    <n v="77.75"/>
    <n v="159.94999999999999"/>
    <n v="158.56666666666663"/>
    <n v="157.6"/>
    <n v="5.7434588385450267E-3"/>
  </r>
  <r>
    <x v="1"/>
    <x v="8"/>
    <x v="3"/>
    <n v="147.6"/>
    <n v="202.5"/>
    <n v="166.4"/>
    <n v="156"/>
    <n v="161.4"/>
    <n v="168.8"/>
    <n v="161.6"/>
    <n v="162.80000000000001"/>
    <n v="114.8"/>
    <n v="162.80000000000001"/>
    <n v="151.5"/>
    <n v="171.4"/>
    <n v="162"/>
    <n v="194.4"/>
    <n v="155.9"/>
    <n v="139.30000000000001"/>
    <n v="153.4"/>
    <n v="161.4"/>
    <n v="154.9"/>
    <n v="147.6"/>
    <n v="157.5"/>
    <n v="142.1"/>
    <n v="149.1"/>
    <n v="157.6"/>
    <n v="156.6"/>
    <n v="150.5"/>
    <n v="160.73846153846154"/>
    <n v="171.75"/>
    <n v="154.5"/>
    <n v="157.05000000000001"/>
    <n v="149.53333333333333"/>
    <n v="158"/>
    <n v="7.0108349267048713E-3"/>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8.77692307692308"/>
    <n v="171"/>
    <n v="156.60000000000002"/>
    <n v="158.85000000000002"/>
    <n v="154.86666666666667"/>
    <n v="157.80000000000001"/>
    <n v="6.3775510204081625E-3"/>
  </r>
  <r>
    <x v="0"/>
    <x v="8"/>
    <x v="4"/>
    <n v="145.1"/>
    <n v="198.5"/>
    <n v="168.6"/>
    <n v="155.80000000000001"/>
    <n v="184.4"/>
    <n v="162.30000000000001"/>
    <n v="138.4"/>
    <n v="165.1"/>
    <n v="114.3"/>
    <n v="169.7"/>
    <n v="164.6"/>
    <n v="169.8"/>
    <n v="158.69999999999999"/>
    <n v="189.6"/>
    <n v="165.3"/>
    <n v="160.6"/>
    <n v="164.5"/>
    <n v="0"/>
    <n v="161.69999999999999"/>
    <n v="158.80000000000001"/>
    <n v="169.1"/>
    <n v="153.19999999999999"/>
    <n v="160"/>
    <n v="167.6"/>
    <n v="159.30000000000001"/>
    <n v="161.1"/>
    <n v="161.17692307692306"/>
    <n v="174.8"/>
    <n v="79.400000000000006"/>
    <n v="164.2"/>
    <n v="163.46666666666667"/>
    <n v="161.1"/>
    <n v="2.2208121827411168E-2"/>
  </r>
  <r>
    <x v="1"/>
    <x v="8"/>
    <x v="4"/>
    <n v="148.80000000000001"/>
    <n v="204.3"/>
    <n v="173"/>
    <n v="156.5"/>
    <n v="168.8"/>
    <n v="172.5"/>
    <n v="166.5"/>
    <n v="165.9"/>
    <n v="115.9"/>
    <n v="165.2"/>
    <n v="152"/>
    <n v="171.1"/>
    <n v="164.2"/>
    <n v="198.2"/>
    <n v="156.5"/>
    <n v="140.19999999999999"/>
    <n v="154.1"/>
    <n v="161.6"/>
    <n v="155.5"/>
    <n v="150.1"/>
    <n v="160.4"/>
    <n v="145"/>
    <n v="152.6"/>
    <n v="156.6"/>
    <n v="157.5"/>
    <n v="152.30000000000001"/>
    <n v="163.43846153846155"/>
    <n v="175.39999999999998"/>
    <n v="155.85"/>
    <n v="158.94999999999999"/>
    <n v="150.26666666666665"/>
    <n v="159.5"/>
    <n v="9.4936708860759497E-3"/>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1.9769230769231"/>
    <n v="173.85000000000002"/>
    <n v="158.14999999999998"/>
    <n v="162.19999999999999"/>
    <n v="158.1"/>
    <n v="160.4"/>
    <n v="1.6476552598225565E-2"/>
  </r>
  <r>
    <x v="0"/>
    <x v="8"/>
    <x v="5"/>
    <n v="145.6"/>
    <n v="200.1"/>
    <n v="179.3"/>
    <n v="156.1"/>
    <n v="190.4"/>
    <n v="158.6"/>
    <n v="144.69999999999999"/>
    <n v="165.5"/>
    <n v="114.6"/>
    <n v="170"/>
    <n v="165.5"/>
    <n v="171.7"/>
    <n v="160.5"/>
    <n v="189.1"/>
    <n v="165.3"/>
    <n v="159.9"/>
    <n v="164.6"/>
    <n v="0"/>
    <n v="162.1"/>
    <n v="159.19999999999999"/>
    <n v="169.7"/>
    <n v="154.19999999999999"/>
    <n v="160.4"/>
    <n v="166.8"/>
    <n v="159.4"/>
    <n v="161.5"/>
    <n v="163.27692307692308"/>
    <n v="174.75"/>
    <n v="79.599999999999994"/>
    <n v="164.55"/>
    <n v="163.26666666666668"/>
    <n v="162.1"/>
    <n v="6.2073246430788334E-3"/>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5.7076923076923"/>
    <n v="173.14999999999998"/>
    <n v="155.15"/>
    <n v="159.4"/>
    <n v="150.86666666666667"/>
    <n v="160.4"/>
    <n v="5.6426332288401614E-3"/>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4.14615384615385"/>
    <n v="172.85000000000002"/>
    <n v="157.65"/>
    <n v="162.55000000000001"/>
    <n v="158.23333333333332"/>
    <n v="161.30000000000001"/>
    <n v="5.6109725685785893E-3"/>
  </r>
  <r>
    <x v="0"/>
    <x v="8"/>
    <x v="6"/>
    <n v="145.1"/>
    <n v="204.5"/>
    <n v="180.4"/>
    <n v="157.1"/>
    <n v="188.7"/>
    <n v="157.69999999999999"/>
    <n v="152.80000000000001"/>
    <n v="163.6"/>
    <n v="113.9"/>
    <n v="169.7"/>
    <n v="166.2"/>
    <n v="171"/>
    <n v="161.69999999999999"/>
    <n v="189.7"/>
    <n v="166"/>
    <n v="161.1"/>
    <n v="165.3"/>
    <n v="0"/>
    <n v="162.5"/>
    <n v="160.30000000000001"/>
    <n v="170.4"/>
    <n v="157.1"/>
    <n v="160.69999999999999"/>
    <n v="167.2"/>
    <n v="160.4"/>
    <n v="162.80000000000001"/>
    <n v="164.03076923076924"/>
    <n v="175.2"/>
    <n v="80.150000000000006"/>
    <n v="165.4"/>
    <n v="164.13333333333335"/>
    <n v="163.19999999999999"/>
    <n v="6.7859346082664671E-3"/>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7.06153846153848"/>
    <n v="173.35"/>
    <n v="156.1"/>
    <n v="160.55000000000001"/>
    <n v="151.76666666666668"/>
    <n v="161.80000000000001"/>
    <n v="8.7281795511222303E-3"/>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5.15384615384616"/>
    <n v="173.25"/>
    <n v="158.65"/>
    <n v="163.55000000000001"/>
    <n v="159.1"/>
    <n v="162.5"/>
    <n v="7.439553626782322E-3"/>
  </r>
  <r>
    <x v="0"/>
    <x v="8"/>
    <x v="7"/>
    <n v="144.9"/>
    <n v="202.3"/>
    <n v="176.5"/>
    <n v="157.5"/>
    <n v="190.9"/>
    <n v="155.69999999999999"/>
    <n v="153.9"/>
    <n v="162.80000000000001"/>
    <n v="115.2"/>
    <n v="169.8"/>
    <n v="167.6"/>
    <n v="171.9"/>
    <n v="161.80000000000001"/>
    <n v="190.2"/>
    <n v="167"/>
    <n v="162.6"/>
    <n v="166.3"/>
    <n v="0"/>
    <n v="163.1"/>
    <n v="160.9"/>
    <n v="171.1"/>
    <n v="157.69999999999999"/>
    <n v="161.1"/>
    <n v="167.5"/>
    <n v="160.30000000000001"/>
    <n v="163.30000000000001"/>
    <n v="163.90769230769232"/>
    <n v="175.64999999999998"/>
    <n v="80.45"/>
    <n v="165.7"/>
    <n v="165.3"/>
    <n v="163.6"/>
    <n v="2.4509803921568978E-3"/>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5.99230769230769"/>
    <n v="175.1"/>
    <n v="157.64999999999998"/>
    <n v="161.19999999999999"/>
    <n v="153.56666666666666"/>
    <n v="162.30000000000001"/>
    <n v="3.0902348578491965E-3"/>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4.76923076923077"/>
    <n v="174.85"/>
    <n v="159.80000000000001"/>
    <n v="164.2"/>
    <n v="161"/>
    <n v="163.19999999999999"/>
    <n v="4.3076923076922381E-3"/>
  </r>
  <r>
    <x v="0"/>
    <x v="8"/>
    <x v="8"/>
    <n v="145.4"/>
    <n v="202.1"/>
    <n v="172"/>
    <n v="158"/>
    <n v="195.5"/>
    <n v="152.69999999999999"/>
    <n v="151.4"/>
    <n v="163.9"/>
    <n v="119.3"/>
    <n v="170.1"/>
    <n v="168.3"/>
    <n v="172.8"/>
    <n v="162.1"/>
    <n v="190.5"/>
    <n v="167.7"/>
    <n v="163.6"/>
    <n v="167.1"/>
    <n v="0"/>
    <n v="163.69999999999999"/>
    <n v="161.30000000000001"/>
    <n v="171.9"/>
    <n v="157.80000000000001"/>
    <n v="162.69999999999999"/>
    <n v="168.5"/>
    <n v="160.19999999999999"/>
    <n v="163.80000000000001"/>
    <n v="164.12307692307692"/>
    <n v="176.6"/>
    <n v="80.650000000000006"/>
    <n v="166.05"/>
    <n v="166.13333333333333"/>
    <n v="164"/>
    <n v="2.4449877750611594E-3"/>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5.99230769230769"/>
    <n v="175.2"/>
    <n v="157.69999999999999"/>
    <n v="161.19999999999999"/>
    <n v="153.6"/>
    <n v="162.30000000000001"/>
    <n v="0"/>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4.76923076923077"/>
    <n v="174.89999999999998"/>
    <n v="159.80000000000001"/>
    <n v="164.2"/>
    <n v="161.06666666666666"/>
    <n v="163.19999999999999"/>
    <n v="0"/>
  </r>
  <r>
    <x v="0"/>
    <x v="8"/>
    <x v="9"/>
    <n v="146.1"/>
    <n v="202.5"/>
    <n v="170.1"/>
    <n v="158.4"/>
    <n v="198.8"/>
    <n v="152.6"/>
    <n v="170.4"/>
    <n v="165.2"/>
    <n v="121.6"/>
    <n v="170.6"/>
    <n v="168.8"/>
    <n v="173.6"/>
    <n v="165.5"/>
    <n v="191.2"/>
    <n v="168.9"/>
    <n v="164.8"/>
    <n v="168.3"/>
    <n v="0"/>
    <n v="165.5"/>
    <n v="162"/>
    <n v="172.5"/>
    <n v="159.5"/>
    <n v="163.19999999999999"/>
    <n v="169"/>
    <n v="161.1"/>
    <n v="164.7"/>
    <n v="166.47692307692307"/>
    <n v="177.2"/>
    <n v="81"/>
    <n v="166.8"/>
    <n v="167.33333333333334"/>
    <n v="166.3"/>
    <n v="1.4024390243902509E-2"/>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9.10769230769236"/>
    <n v="176.05"/>
    <n v="158.94999999999999"/>
    <n v="161.9"/>
    <n v="154.50000000000003"/>
    <n v="164.6"/>
    <n v="1.4171287738755286E-2"/>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7.34615384615384"/>
    <n v="175.64999999999998"/>
    <n v="161"/>
    <n v="164.95"/>
    <n v="162.1"/>
    <n v="165.5"/>
    <n v="1.4093137254902032E-2"/>
  </r>
  <r>
    <x v="0"/>
    <x v="8"/>
    <x v="10"/>
    <n v="146.9"/>
    <n v="199.8"/>
    <n v="171.5"/>
    <n v="159.1"/>
    <n v="198.4"/>
    <n v="153.19999999999999"/>
    <n v="183.9"/>
    <n v="165.4"/>
    <n v="122.1"/>
    <n v="170.8"/>
    <n v="169.1"/>
    <n v="174.3"/>
    <n v="167.5"/>
    <n v="191.4"/>
    <n v="170.4"/>
    <n v="166"/>
    <n v="169.8"/>
    <n v="0"/>
    <n v="165.3"/>
    <n v="162.9"/>
    <n v="173.4"/>
    <n v="158.9"/>
    <n v="163.80000000000001"/>
    <n v="169.3"/>
    <n v="162.4"/>
    <n v="165.2"/>
    <n v="167.84615384615384"/>
    <n v="177.60000000000002"/>
    <n v="81.45"/>
    <n v="167.9"/>
    <n v="168.73333333333332"/>
    <n v="167.6"/>
    <n v="7.8171978352374188E-3"/>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70.60769230769228"/>
    <n v="176.85"/>
    <n v="159.69999999999999"/>
    <n v="163"/>
    <n v="155.76666666666668"/>
    <n v="165.6"/>
    <n v="6.0753341433778859E-3"/>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8.77692307692308"/>
    <n v="176.35000000000002"/>
    <n v="161.75"/>
    <n v="166.05"/>
    <n v="163.46666666666667"/>
    <n v="166.7"/>
    <n v="7.2507552870089949E-3"/>
  </r>
  <r>
    <x v="0"/>
    <x v="8"/>
    <x v="11"/>
    <n v="147.4"/>
    <n v="197"/>
    <n v="176.5"/>
    <n v="159.80000000000001"/>
    <n v="195.8"/>
    <n v="152"/>
    <n v="172.3"/>
    <n v="164.5"/>
    <n v="120.6"/>
    <n v="171.7"/>
    <n v="169.7"/>
    <n v="175.1"/>
    <n v="165.8"/>
    <n v="190.8"/>
    <n v="171.8"/>
    <n v="167.3"/>
    <n v="171.2"/>
    <n v="0"/>
    <n v="165.6"/>
    <n v="163.9"/>
    <n v="174"/>
    <n v="160.1"/>
    <n v="164.5"/>
    <n v="169.7"/>
    <n v="162.80000000000001"/>
    <n v="166"/>
    <n v="166.78461538461536"/>
    <n v="177.65"/>
    <n v="81.95"/>
    <n v="168.4"/>
    <n v="170.1"/>
    <n v="167"/>
    <n v="-3.579952267303069E-3"/>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9.71538461538464"/>
    <n v="177.2"/>
    <n v="159.69999999999999"/>
    <n v="163.75"/>
    <n v="156.9"/>
    <n v="165.2"/>
    <n v="-2.4154589371981022E-3"/>
  </r>
  <r>
    <x v="2"/>
    <x v="8"/>
    <x v="11"/>
    <n v="148.69999999999999"/>
    <n v="198.8"/>
    <n v="177.9"/>
    <n v="159.9"/>
    <n v="187.6"/>
    <n v="154.9"/>
    <n v="188.3"/>
    <n v="164.4"/>
    <n v="121"/>
    <n v="170.5"/>
    <n v="164.2"/>
    <n v="176.5"/>
    <n v="168.2"/>
    <n v="192.4"/>
    <n v="168.5"/>
    <n v="158.69999999999999"/>
    <n v="167"/>
    <n v="163.4"/>
    <n v="164.1"/>
    <n v="160.19999999999999"/>
    <n v="170.6"/>
    <n v="155.69999999999999"/>
    <n v="160.6"/>
    <n v="164.4"/>
    <n v="162.6"/>
    <n v="162"/>
    <n v="167.76153846153846"/>
    <n v="176.5"/>
    <n v="161.80000000000001"/>
    <n v="166.6"/>
    <n v="164.73333333333332"/>
    <n v="166.2"/>
    <n v="-2.999400119976005E-3"/>
  </r>
  <r>
    <x v="0"/>
    <x v="9"/>
    <x v="0"/>
    <n v="148.30000000000001"/>
    <n v="196.9"/>
    <n v="178"/>
    <n v="160.5"/>
    <n v="192.6"/>
    <n v="151.19999999999999"/>
    <n v="159.19999999999999"/>
    <n v="164"/>
    <n v="119.3"/>
    <n v="173.3"/>
    <n v="169.8"/>
    <n v="175.8"/>
    <n v="164.1"/>
    <n v="190.7"/>
    <n v="173.2"/>
    <n v="169.3"/>
    <n v="172.7"/>
    <n v="0"/>
    <n v="165.8"/>
    <n v="164.9"/>
    <n v="174.7"/>
    <n v="160.80000000000001"/>
    <n v="164.9"/>
    <n v="169.9"/>
    <n v="163.19999999999999"/>
    <n v="166.6"/>
    <n v="165.61538461538461"/>
    <n v="177.8"/>
    <n v="82.45"/>
    <n v="168.95"/>
    <n v="171.73333333333335"/>
    <n v="166.4"/>
    <n v="-3.5928143712574512E-3"/>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8.2076923076923"/>
    <n v="177.4"/>
    <n v="160.65"/>
    <n v="164.45"/>
    <n v="158.46666666666667"/>
    <n v="165"/>
    <n v="-1.2106537530265657E-3"/>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6.47692307692307"/>
    <n v="176.7"/>
    <n v="162.80000000000001"/>
    <n v="167.2"/>
    <n v="166.36666666666667"/>
    <n v="165.7"/>
    <n v="-3.0084235860409147E-3"/>
  </r>
  <r>
    <x v="0"/>
    <x v="9"/>
    <x v="1"/>
    <n v="148.80000000000001"/>
    <n v="198.1"/>
    <n v="175.5"/>
    <n v="160.69999999999999"/>
    <n v="192.6"/>
    <n v="151.4"/>
    <n v="155.19999999999999"/>
    <n v="163.9"/>
    <n v="118.1"/>
    <n v="175.4"/>
    <n v="170.5"/>
    <n v="176.3"/>
    <n v="163.9"/>
    <n v="191.5"/>
    <n v="174.1"/>
    <n v="171"/>
    <n v="173.7"/>
    <n v="0"/>
    <n v="167.4"/>
    <n v="165.7"/>
    <n v="175.3"/>
    <n v="161.19999999999999"/>
    <n v="165.5"/>
    <n v="170.3"/>
    <n v="164.5"/>
    <n v="167.3"/>
    <n v="165.41538461538462"/>
    <n v="178.5"/>
    <n v="82.85"/>
    <n v="169.9"/>
    <n v="172.93333333333331"/>
    <n v="166.7"/>
    <n v="1.8028846153845129E-3"/>
  </r>
  <r>
    <x v="1"/>
    <x v="9"/>
    <x v="1"/>
    <n v="152.5"/>
    <n v="205.2"/>
    <n v="176.4"/>
    <n v="160.6"/>
    <n v="171.5"/>
    <n v="156.4"/>
    <n v="198"/>
    <n v="163.19999999999999"/>
    <n v="120.6"/>
    <n v="172.2"/>
    <n v="156.69999999999999"/>
    <n v="180"/>
    <n v="170.2"/>
    <n v="196.5"/>
    <n v="165.7"/>
    <n v="150.4"/>
    <n v="163.4"/>
    <n v="165.5"/>
    <n v="163"/>
    <n v="157.4"/>
    <n v="167.2"/>
    <n v="153.1"/>
    <n v="159.5"/>
    <n v="162"/>
    <n v="164.2"/>
    <n v="159.4"/>
    <n v="167.96153846153845"/>
    <n v="178"/>
    <n v="161.44999999999999"/>
    <n v="165.7"/>
    <n v="159.83333333333334"/>
    <n v="165.5"/>
    <n v="3.0303030303030303E-3"/>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24615384615387"/>
    <n v="177.45"/>
    <n v="163.65"/>
    <n v="168.3"/>
    <n v="167.60000000000002"/>
    <n v="166.1"/>
    <n v="2.4140012070006378E-3"/>
  </r>
  <r>
    <x v="0"/>
    <x v="9"/>
    <x v="2"/>
    <n v="150.19999999999999"/>
    <n v="208"/>
    <n v="167.9"/>
    <n v="162"/>
    <n v="203.1"/>
    <n v="155.9"/>
    <n v="155.80000000000001"/>
    <n v="164.2"/>
    <n v="118.1"/>
    <n v="178.7"/>
    <n v="171.2"/>
    <n v="177.4"/>
    <n v="166.6"/>
    <n v="192.3"/>
    <n v="175.4"/>
    <n v="173.2"/>
    <n v="175.1"/>
    <n v="0"/>
    <n v="168.9"/>
    <n v="166.5"/>
    <n v="176"/>
    <n v="162"/>
    <n v="166.6"/>
    <n v="170.6"/>
    <n v="167.4"/>
    <n v="168.3"/>
    <n v="167.62307692307695"/>
    <n v="179.45"/>
    <n v="83.25"/>
    <n v="171.7"/>
    <n v="174.56666666666669"/>
    <n v="168.7"/>
    <n v="1.199760047990402E-2"/>
  </r>
  <r>
    <x v="1"/>
    <x v="9"/>
    <x v="2"/>
    <n v="153.69999999999999"/>
    <n v="215.8"/>
    <n v="167.7"/>
    <n v="162.6"/>
    <n v="180"/>
    <n v="159.6"/>
    <n v="188.4"/>
    <n v="163.4"/>
    <n v="120.3"/>
    <n v="174.7"/>
    <n v="157.1"/>
    <n v="181.5"/>
    <n v="171.5"/>
    <n v="197.5"/>
    <n v="167.1"/>
    <n v="152.6"/>
    <n v="164.9"/>
    <n v="165.3"/>
    <n v="164.5"/>
    <n v="158.6"/>
    <n v="168.2"/>
    <n v="154.19999999999999"/>
    <n v="160.80000000000001"/>
    <n v="162.69999999999999"/>
    <n v="166.8"/>
    <n v="160.6"/>
    <n v="168.94615384615386"/>
    <n v="179.15"/>
    <n v="161.94999999999999"/>
    <n v="167.5"/>
    <n v="161.53333333333333"/>
    <n v="166.5"/>
    <n v="6.0422960725075529E-3"/>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8.01538461538465"/>
    <n v="178.5"/>
    <n v="164.05"/>
    <n v="170.1"/>
    <n v="169.26666666666665"/>
    <n v="167.7"/>
    <n v="9.6327513546056245E-3"/>
  </r>
  <r>
    <x v="0"/>
    <x v="9"/>
    <x v="3"/>
    <n v="151.80000000000001"/>
    <n v="209.7"/>
    <n v="164.5"/>
    <n v="163.80000000000001"/>
    <n v="207.4"/>
    <n v="169.7"/>
    <n v="153.6"/>
    <n v="165.1"/>
    <n v="118.2"/>
    <n v="182.9"/>
    <n v="172.4"/>
    <n v="178.9"/>
    <n v="168.6"/>
    <n v="192.8"/>
    <n v="177.5"/>
    <n v="175.1"/>
    <n v="177.1"/>
    <n v="0"/>
    <n v="173.3"/>
    <n v="167.7"/>
    <n v="177"/>
    <n v="166.2"/>
    <n v="167.2"/>
    <n v="170.9"/>
    <n v="169"/>
    <n v="170.2"/>
    <n v="169.73846153846154"/>
    <n v="180"/>
    <n v="83.85"/>
    <n v="173"/>
    <n v="176.56666666666669"/>
    <n v="170.8"/>
    <n v="1.2448132780083124E-2"/>
  </r>
  <r>
    <x v="1"/>
    <x v="9"/>
    <x v="3"/>
    <n v="155.4"/>
    <n v="215.8"/>
    <n v="164.6"/>
    <n v="164.2"/>
    <n v="186"/>
    <n v="175.9"/>
    <n v="190.7"/>
    <n v="164"/>
    <n v="120.5"/>
    <n v="178"/>
    <n v="157.5"/>
    <n v="183.3"/>
    <n v="174.5"/>
    <n v="197.1"/>
    <n v="168.4"/>
    <n v="154.5"/>
    <n v="166.3"/>
    <n v="167"/>
    <n v="170.5"/>
    <n v="159.80000000000001"/>
    <n v="169"/>
    <n v="159.30000000000001"/>
    <n v="162.19999999999999"/>
    <n v="164"/>
    <n v="168.4"/>
    <n v="163.1"/>
    <n v="171.56923076923078"/>
    <n v="179.64999999999998"/>
    <n v="163.4"/>
    <n v="168.7"/>
    <n v="163.06666666666666"/>
    <n v="169.2"/>
    <n v="1.6216216216216148E-2"/>
  </r>
  <r>
    <x v="2"/>
    <x v="9"/>
    <x v="3"/>
    <n v="152.9"/>
    <n v="211.8"/>
    <n v="164.5"/>
    <n v="163.9"/>
    <n v="199.5"/>
    <n v="172.6"/>
    <n v="166.2"/>
    <n v="164.7"/>
    <n v="119"/>
    <n v="181.3"/>
    <n v="166.2"/>
    <n v="180.9"/>
    <n v="170.8"/>
    <n v="193.9"/>
    <n v="173.9"/>
    <n v="166.5"/>
    <n v="172.8"/>
    <n v="167"/>
    <n v="172.2"/>
    <n v="164"/>
    <n v="174"/>
    <n v="162.6"/>
    <n v="164.4"/>
    <n v="166.9"/>
    <n v="168.8"/>
    <n v="166.8"/>
    <n v="170.33076923076925"/>
    <n v="179.15"/>
    <n v="165.5"/>
    <n v="171.4"/>
    <n v="171.06666666666669"/>
    <n v="170.1"/>
    <n v="1.4311270125223648E-2"/>
  </r>
  <r>
    <x v="0"/>
    <x v="9"/>
    <x v="4"/>
    <n v="152.9"/>
    <n v="214.7"/>
    <n v="161.4"/>
    <n v="164.6"/>
    <n v="209.9"/>
    <n v="168"/>
    <n v="160.4"/>
    <n v="165"/>
    <n v="118.9"/>
    <n v="186.6"/>
    <n v="173.2"/>
    <n v="180.4"/>
    <n v="170.8"/>
    <n v="192.9"/>
    <n v="179.3"/>
    <n v="177.2"/>
    <n v="179"/>
    <n v="0"/>
    <n v="175.3"/>
    <n v="168.9"/>
    <n v="177.7"/>
    <n v="167.1"/>
    <n v="167.6"/>
    <n v="171.8"/>
    <n v="168.5"/>
    <n v="170.9"/>
    <n v="171.2923076923077"/>
    <n v="180.25"/>
    <n v="84.45"/>
    <n v="173.1"/>
    <n v="178.5"/>
    <n v="172.5"/>
    <n v="9.9531615925057878E-3"/>
  </r>
  <r>
    <x v="1"/>
    <x v="9"/>
    <x v="4"/>
    <n v="156.69999999999999"/>
    <n v="221.2"/>
    <n v="164.1"/>
    <n v="165.4"/>
    <n v="189.5"/>
    <n v="174.5"/>
    <n v="203.2"/>
    <n v="164.1"/>
    <n v="121.2"/>
    <n v="181.4"/>
    <n v="158.5"/>
    <n v="184.9"/>
    <n v="177.5"/>
    <n v="197.5"/>
    <n v="170"/>
    <n v="155.9"/>
    <n v="167.8"/>
    <n v="167.5"/>
    <n v="173.5"/>
    <n v="161.1"/>
    <n v="170.1"/>
    <n v="159.4"/>
    <n v="163.19999999999999"/>
    <n v="165.2"/>
    <n v="168.2"/>
    <n v="163.80000000000001"/>
    <n v="174.01538461538465"/>
    <n v="180.35"/>
    <n v="164.3"/>
    <n v="169.14999999999998"/>
    <n v="164.56666666666666"/>
    <n v="170.8"/>
    <n v="9.4562647754138467E-3"/>
  </r>
  <r>
    <x v="2"/>
    <x v="9"/>
    <x v="4"/>
    <n v="154.1"/>
    <n v="217"/>
    <n v="162.4"/>
    <n v="164.9"/>
    <n v="202.4"/>
    <n v="171"/>
    <n v="174.9"/>
    <n v="164.7"/>
    <n v="119.7"/>
    <n v="184.9"/>
    <n v="167.1"/>
    <n v="182.5"/>
    <n v="173.3"/>
    <n v="194.1"/>
    <n v="175.6"/>
    <n v="168.4"/>
    <n v="174.6"/>
    <n v="167.5"/>
    <n v="174.6"/>
    <n v="165.2"/>
    <n v="174.8"/>
    <n v="163"/>
    <n v="165.1"/>
    <n v="167.9"/>
    <n v="168.4"/>
    <n v="167.5"/>
    <n v="172.22307692307697"/>
    <n v="179.6"/>
    <n v="166.35"/>
    <n v="171.60000000000002"/>
    <n v="172.86666666666667"/>
    <n v="171.7"/>
    <n v="9.4062316284538178E-3"/>
  </r>
  <r>
    <x v="0"/>
    <x v="9"/>
    <x v="5"/>
    <n v="153.80000000000001"/>
    <n v="217.2"/>
    <n v="169.6"/>
    <n v="165.4"/>
    <n v="208.1"/>
    <n v="165.8"/>
    <n v="167.3"/>
    <n v="164.6"/>
    <n v="119.1"/>
    <n v="188.9"/>
    <n v="174.2"/>
    <n v="181.9"/>
    <n v="172.4"/>
    <n v="192.9"/>
    <n v="180.7"/>
    <n v="178.7"/>
    <n v="180.4"/>
    <n v="0"/>
    <n v="176.7"/>
    <n v="170.3"/>
    <n v="178.2"/>
    <n v="165.5"/>
    <n v="168"/>
    <n v="172.6"/>
    <n v="169.5"/>
    <n v="171"/>
    <n v="172.94615384615386"/>
    <n v="180.45"/>
    <n v="85.15"/>
    <n v="173.85"/>
    <n v="179.93333333333331"/>
    <n v="173.6"/>
    <n v="6.3768115942028653E-3"/>
  </r>
  <r>
    <x v="1"/>
    <x v="9"/>
    <x v="5"/>
    <n v="157.5"/>
    <n v="223.4"/>
    <n v="172.8"/>
    <n v="166.4"/>
    <n v="188.6"/>
    <n v="174.1"/>
    <n v="211.5"/>
    <n v="163.6"/>
    <n v="121.4"/>
    <n v="183.5"/>
    <n v="159.1"/>
    <n v="186.3"/>
    <n v="179.3"/>
    <n v="198.3"/>
    <n v="171.6"/>
    <n v="157.4"/>
    <n v="169.4"/>
    <n v="166.8"/>
    <n v="174.9"/>
    <n v="162.1"/>
    <n v="170.9"/>
    <n v="157.19999999999999"/>
    <n v="164.1"/>
    <n v="166.5"/>
    <n v="169.2"/>
    <n v="163.80000000000001"/>
    <n v="175.96153846153845"/>
    <n v="181.2"/>
    <n v="164.45"/>
    <n v="170.05"/>
    <n v="166.13333333333333"/>
    <n v="171.4"/>
    <n v="3.5128805620608565E-3"/>
  </r>
  <r>
    <x v="2"/>
    <x v="9"/>
    <x v="5"/>
    <n v="155"/>
    <n v="219.4"/>
    <n v="170.8"/>
    <n v="165.8"/>
    <n v="200.9"/>
    <n v="169.7"/>
    <n v="182.3"/>
    <n v="164.3"/>
    <n v="119.9"/>
    <n v="187.1"/>
    <n v="167.9"/>
    <n v="183.9"/>
    <n v="174.9"/>
    <n v="194.3"/>
    <n v="177.1"/>
    <n v="169.9"/>
    <n v="176"/>
    <n v="166.8"/>
    <n v="176"/>
    <n v="166.4"/>
    <n v="175.4"/>
    <n v="161.1"/>
    <n v="165.8"/>
    <n v="169"/>
    <n v="169.4"/>
    <n v="167.5"/>
    <n v="173.99230769230769"/>
    <n v="180.05"/>
    <n v="166.60000000000002"/>
    <n v="172.4"/>
    <n v="174.33333333333334"/>
    <n v="172.6"/>
    <n v="5.2417006406523343E-3"/>
  </r>
  <r>
    <x v="0"/>
    <x v="9"/>
    <x v="6"/>
    <n v="155.19999999999999"/>
    <n v="210.8"/>
    <n v="174.3"/>
    <n v="166.3"/>
    <n v="202.2"/>
    <n v="169.6"/>
    <n v="168.6"/>
    <n v="164.4"/>
    <n v="119.2"/>
    <n v="191.8"/>
    <n v="174.5"/>
    <n v="183.1"/>
    <n v="172.5"/>
    <n v="193.2"/>
    <n v="182"/>
    <n v="180.3"/>
    <n v="181.7"/>
    <n v="0"/>
    <n v="179.6"/>
    <n v="171.3"/>
    <n v="178.8"/>
    <n v="166.3"/>
    <n v="168.6"/>
    <n v="174.7"/>
    <n v="169.7"/>
    <n v="171.8"/>
    <n v="173.26923076923077"/>
    <n v="180.89999999999998"/>
    <n v="85.65"/>
    <n v="174.25"/>
    <n v="181.33333333333334"/>
    <n v="174.3"/>
    <n v="4.0322580645162278E-3"/>
  </r>
  <r>
    <x v="1"/>
    <x v="9"/>
    <x v="6"/>
    <n v="159.30000000000001"/>
    <n v="217.1"/>
    <n v="176.6"/>
    <n v="167.1"/>
    <n v="184.8"/>
    <n v="179.5"/>
    <n v="208.5"/>
    <n v="164"/>
    <n v="121.5"/>
    <n v="186.3"/>
    <n v="159.80000000000001"/>
    <n v="187.7"/>
    <n v="179.4"/>
    <n v="198.6"/>
    <n v="172.7"/>
    <n v="158.69999999999999"/>
    <n v="170.6"/>
    <n v="167.8"/>
    <n v="179.5"/>
    <n v="163.1"/>
    <n v="171.7"/>
    <n v="157.4"/>
    <n v="164.6"/>
    <n v="169.1"/>
    <n v="169.8"/>
    <n v="164.7"/>
    <n v="176.27692307692308"/>
    <n v="181.6"/>
    <n v="165.45"/>
    <n v="170.75"/>
    <n v="167.33333333333334"/>
    <n v="172.3"/>
    <n v="5.2508751458576761E-3"/>
  </r>
  <r>
    <x v="2"/>
    <x v="9"/>
    <x v="6"/>
    <n v="156.5"/>
    <n v="213"/>
    <n v="175.2"/>
    <n v="166.6"/>
    <n v="195.8"/>
    <n v="174.2"/>
    <n v="182.1"/>
    <n v="164.3"/>
    <n v="120"/>
    <n v="190"/>
    <n v="168.4"/>
    <n v="185.2"/>
    <n v="175"/>
    <n v="194.6"/>
    <n v="178.3"/>
    <n v="171.3"/>
    <n v="177.3"/>
    <n v="167.8"/>
    <n v="179.6"/>
    <n v="167.4"/>
    <n v="176.1"/>
    <n v="161.6"/>
    <n v="166.3"/>
    <n v="171.4"/>
    <n v="169.7"/>
    <n v="168.4"/>
    <n v="174.33076923076925"/>
    <n v="180.45"/>
    <n v="167.60000000000002"/>
    <n v="172.89999999999998"/>
    <n v="175.63333333333335"/>
    <n v="173.4"/>
    <n v="4.634994206257308E-3"/>
  </r>
  <r>
    <x v="0"/>
    <x v="9"/>
    <x v="7"/>
    <n v="159.5"/>
    <n v="204.1"/>
    <n v="168.3"/>
    <n v="167.9"/>
    <n v="198.1"/>
    <n v="169.2"/>
    <n v="173.1"/>
    <n v="167.1"/>
    <n v="120.2"/>
    <n v="195.6"/>
    <n v="174.8"/>
    <n v="184"/>
    <n v="173.9"/>
    <n v="193.7"/>
    <n v="183.2"/>
    <n v="181.7"/>
    <n v="183"/>
    <n v="0"/>
    <n v="179.1"/>
    <n v="172.3"/>
    <n v="179.4"/>
    <n v="166.6"/>
    <n v="169.3"/>
    <n v="175.7"/>
    <n v="171.1"/>
    <n v="172.6"/>
    <n v="173.5230769230769"/>
    <n v="181.5"/>
    <n v="86.15"/>
    <n v="175.25"/>
    <n v="182.63333333333333"/>
    <n v="175.3"/>
    <n v="5.737234652897303E-3"/>
  </r>
  <r>
    <x v="1"/>
    <x v="9"/>
    <x v="7"/>
    <n v="162.1"/>
    <n v="210.9"/>
    <n v="170.6"/>
    <n v="168.4"/>
    <n v="182.5"/>
    <n v="177.1"/>
    <n v="213.1"/>
    <n v="167.3"/>
    <n v="122.2"/>
    <n v="189.7"/>
    <n v="160.5"/>
    <n v="188.9"/>
    <n v="180.4"/>
    <n v="198.7"/>
    <n v="173.7"/>
    <n v="160"/>
    <n v="171.6"/>
    <n v="169"/>
    <n v="178.4"/>
    <n v="164.2"/>
    <n v="172.6"/>
    <n v="157.69999999999999"/>
    <n v="165.1"/>
    <n v="169.9"/>
    <n v="171.4"/>
    <n v="165.4"/>
    <n v="176.43846153846152"/>
    <n v="181.89999999999998"/>
    <n v="166.6"/>
    <n v="172"/>
    <n v="168.43333333333331"/>
    <n v="173.1"/>
    <n v="4.6430644225187636E-3"/>
  </r>
  <r>
    <x v="2"/>
    <x v="9"/>
    <x v="7"/>
    <n v="160.30000000000001"/>
    <n v="206.5"/>
    <n v="169.2"/>
    <n v="168.1"/>
    <n v="192.4"/>
    <n v="172.9"/>
    <n v="186.7"/>
    <n v="167.2"/>
    <n v="120.9"/>
    <n v="193.6"/>
    <n v="168.8"/>
    <n v="186.3"/>
    <n v="176.3"/>
    <n v="195"/>
    <n v="179.5"/>
    <n v="172.7"/>
    <n v="178.5"/>
    <n v="169"/>
    <n v="178.8"/>
    <n v="168.5"/>
    <n v="176.8"/>
    <n v="161.9"/>
    <n v="166.9"/>
    <n v="172.3"/>
    <n v="171.2"/>
    <n v="169.1"/>
    <n v="174.55384615384617"/>
    <n v="180.95"/>
    <n v="168.75"/>
    <n v="174"/>
    <n v="176.9"/>
    <n v="174.3"/>
    <n v="5.1903114186851538E-3"/>
  </r>
  <r>
    <x v="0"/>
    <x v="9"/>
    <x v="8"/>
    <n v="162.9"/>
    <n v="206.7"/>
    <n v="169"/>
    <n v="169.5"/>
    <n v="194.1"/>
    <n v="164.1"/>
    <n v="176.9"/>
    <n v="169"/>
    <n v="120.8"/>
    <n v="199.1"/>
    <n v="175.4"/>
    <n v="184.8"/>
    <n v="175.5"/>
    <n v="194.5"/>
    <n v="184.7"/>
    <n v="183.3"/>
    <n v="184.5"/>
    <n v="0"/>
    <n v="179.7"/>
    <n v="173.6"/>
    <n v="180.2"/>
    <n v="166.9"/>
    <n v="170"/>
    <n v="176.2"/>
    <n v="170.8"/>
    <n v="173.1"/>
    <n v="174.44615384615386"/>
    <n v="182.25"/>
    <n v="86.8"/>
    <n v="175.5"/>
    <n v="184.16666666666666"/>
    <n v="176.4"/>
    <n v="6.2749572162007659E-3"/>
  </r>
  <r>
    <x v="1"/>
    <x v="9"/>
    <x v="8"/>
    <n v="164.9"/>
    <n v="213.7"/>
    <n v="170.9"/>
    <n v="170.1"/>
    <n v="179.3"/>
    <n v="167.5"/>
    <n v="220.8"/>
    <n v="169.2"/>
    <n v="123.1"/>
    <n v="193.6"/>
    <n v="161.1"/>
    <n v="190.4"/>
    <n v="181.8"/>
    <n v="199.7"/>
    <n v="175"/>
    <n v="161.69999999999999"/>
    <n v="173"/>
    <n v="169.5"/>
    <n v="179.2"/>
    <n v="165"/>
    <n v="173.8"/>
    <n v="158.19999999999999"/>
    <n v="165.8"/>
    <n v="170.9"/>
    <n v="171.1"/>
    <n v="166.1"/>
    <n v="177.41538461538462"/>
    <n v="182.75"/>
    <n v="167.25"/>
    <n v="172.45"/>
    <n v="169.9"/>
    <n v="174.1"/>
    <n v="5.7770075101097633E-3"/>
  </r>
  <r>
    <x v="2"/>
    <x v="9"/>
    <x v="8"/>
    <n v="163.5"/>
    <n v="209.2"/>
    <n v="169.7"/>
    <n v="169.7"/>
    <n v="188.7"/>
    <n v="165.7"/>
    <n v="191.8"/>
    <n v="169.1"/>
    <n v="121.6"/>
    <n v="197.3"/>
    <n v="169.4"/>
    <n v="187.4"/>
    <n v="177.8"/>
    <n v="195.9"/>
    <n v="180.9"/>
    <n v="174.3"/>
    <n v="179.9"/>
    <n v="169.5"/>
    <n v="179.5"/>
    <n v="169.5"/>
    <n v="177.8"/>
    <n v="162.30000000000001"/>
    <n v="167.6"/>
    <n v="173.1"/>
    <n v="170.9"/>
    <n v="169.7"/>
    <n v="175.45384615384617"/>
    <n v="181.75"/>
    <n v="169.5"/>
    <n v="174.35000000000002"/>
    <n v="178.36666666666667"/>
    <n v="175.3"/>
    <n v="5.737234652897303E-3"/>
  </r>
  <r>
    <x v="0"/>
    <x v="9"/>
    <x v="9"/>
    <n v="164.7"/>
    <n v="208.8"/>
    <n v="170.3"/>
    <n v="170.9"/>
    <n v="191.6"/>
    <n v="162.19999999999999"/>
    <n v="184.8"/>
    <n v="169.7"/>
    <n v="121.1"/>
    <n v="201.6"/>
    <n v="175.8"/>
    <n v="185.6"/>
    <n v="177.4"/>
    <n v="194.9"/>
    <n v="186.1"/>
    <n v="184.4"/>
    <n v="185.9"/>
    <n v="0"/>
    <n v="180.8"/>
    <n v="174.4"/>
    <n v="181.2"/>
    <n v="167.4"/>
    <n v="170.6"/>
    <n v="176.5"/>
    <n v="172"/>
    <n v="173.9"/>
    <n v="175.73076923076923"/>
    <n v="182.75"/>
    <n v="87.2"/>
    <n v="176.6"/>
    <n v="185.46666666666667"/>
    <n v="177.9"/>
    <n v="8.5034013605442167E-3"/>
  </r>
  <r>
    <x v="1"/>
    <x v="9"/>
    <x v="9"/>
    <n v="166.4"/>
    <n v="214.9"/>
    <n v="171.9"/>
    <n v="171"/>
    <n v="177.7"/>
    <n v="165.7"/>
    <n v="228.6"/>
    <n v="169.9"/>
    <n v="123.4"/>
    <n v="196.4"/>
    <n v="161.6"/>
    <n v="191.5"/>
    <n v="183.3"/>
    <n v="200.1"/>
    <n v="175.5"/>
    <n v="162.6"/>
    <n v="173.6"/>
    <n v="171.2"/>
    <n v="180"/>
    <n v="166"/>
    <n v="174.7"/>
    <n v="158.80000000000001"/>
    <n v="166.3"/>
    <n v="171.2"/>
    <n v="172.3"/>
    <n v="166.8"/>
    <n v="178.63846153846154"/>
    <n v="183.2"/>
    <n v="168.6"/>
    <n v="173.5"/>
    <n v="170.56666666666669"/>
    <n v="175.3"/>
    <n v="6.8925904652499545E-3"/>
  </r>
  <r>
    <x v="2"/>
    <x v="9"/>
    <x v="9"/>
    <n v="165.2"/>
    <n v="210.9"/>
    <n v="170.9"/>
    <n v="170.9"/>
    <n v="186.5"/>
    <n v="163.80000000000001"/>
    <n v="199.7"/>
    <n v="169.8"/>
    <n v="121.9"/>
    <n v="199.9"/>
    <n v="169.9"/>
    <n v="188.3"/>
    <n v="179.6"/>
    <n v="196.3"/>
    <n v="181.9"/>
    <n v="175.3"/>
    <n v="181"/>
    <n v="171.2"/>
    <n v="180.5"/>
    <n v="170.4"/>
    <n v="178.7"/>
    <n v="162.9"/>
    <n v="168.2"/>
    <n v="173.4"/>
    <n v="172.1"/>
    <n v="170.5"/>
    <n v="176.71538461538464"/>
    <n v="182.25"/>
    <n v="170.8"/>
    <n v="175.39999999999998"/>
    <n v="179.4"/>
    <n v="176.7"/>
    <n v="7.9863091842554308E-3"/>
  </r>
  <r>
    <x v="0"/>
    <x v="9"/>
    <x v="10"/>
    <n v="166.9"/>
    <n v="207.2"/>
    <n v="180.2"/>
    <n v="172.3"/>
    <n v="194"/>
    <n v="159.1"/>
    <n v="171.6"/>
    <n v="170.2"/>
    <n v="121.5"/>
    <n v="204.8"/>
    <n v="176.4"/>
    <n v="186.9"/>
    <n v="176.6"/>
    <n v="195.5"/>
    <n v="187.2"/>
    <n v="185.2"/>
    <n v="186.9"/>
    <n v="0"/>
    <n v="181.9"/>
    <n v="175.5"/>
    <n v="182.3"/>
    <n v="167.5"/>
    <n v="170.8"/>
    <n v="176.9"/>
    <n v="173.4"/>
    <n v="174.6"/>
    <n v="175.97692307692307"/>
    <n v="183.15"/>
    <n v="87.75"/>
    <n v="177.85000000000002"/>
    <n v="186.43333333333331"/>
    <n v="177.8"/>
    <n v="-5.6211354693644919E-4"/>
  </r>
  <r>
    <x v="1"/>
    <x v="9"/>
    <x v="10"/>
    <n v="168.4"/>
    <n v="213.4"/>
    <n v="183.2"/>
    <n v="172.3"/>
    <n v="180"/>
    <n v="162.6"/>
    <n v="205.5"/>
    <n v="171"/>
    <n v="123.4"/>
    <n v="198.8"/>
    <n v="162.1"/>
    <n v="192.4"/>
    <n v="181.3"/>
    <n v="200.6"/>
    <n v="176.7"/>
    <n v="163.5"/>
    <n v="174.7"/>
    <n v="171.8"/>
    <n v="180.3"/>
    <n v="166.9"/>
    <n v="175.8"/>
    <n v="158.9"/>
    <n v="166.7"/>
    <n v="171.5"/>
    <n v="173.8"/>
    <n v="167.4"/>
    <n v="178.03076923076924"/>
    <n v="183.64999999999998"/>
    <n v="169.35000000000002"/>
    <n v="174.8"/>
    <n v="171.63333333333333"/>
    <n v="174.1"/>
    <n v="-6.8454078722191497E-3"/>
  </r>
  <r>
    <x v="2"/>
    <x v="9"/>
    <x v="10"/>
    <n v="167.4"/>
    <n v="209.4"/>
    <n v="181.4"/>
    <n v="172.3"/>
    <n v="188.9"/>
    <n v="160.69999999999999"/>
    <n v="183.1"/>
    <n v="170.5"/>
    <n v="122.1"/>
    <n v="202.8"/>
    <n v="170.4"/>
    <n v="189.5"/>
    <n v="178.3"/>
    <n v="196.9"/>
    <n v="183.1"/>
    <n v="176.2"/>
    <n v="182.1"/>
    <n v="171.8"/>
    <n v="181.3"/>
    <n v="171.4"/>
    <n v="179.8"/>
    <n v="163"/>
    <n v="168.5"/>
    <n v="173.7"/>
    <n v="173.6"/>
    <n v="171.1"/>
    <n v="176.67692307692309"/>
    <n v="182.7"/>
    <n v="171.60000000000002"/>
    <n v="176.7"/>
    <n v="180.46666666666667"/>
    <n v="176.5"/>
    <n v="-1.1318619128465684E-3"/>
  </r>
  <r>
    <x v="0"/>
    <x v="9"/>
    <x v="11"/>
    <n v="168.8"/>
    <n v="206.9"/>
    <n v="189.1"/>
    <n v="173.4"/>
    <n v="193.9"/>
    <n v="156.69999999999999"/>
    <n v="150.19999999999999"/>
    <n v="170.5"/>
    <n v="121.2"/>
    <n v="207.5"/>
    <n v="176.8"/>
    <n v="187.7"/>
    <n v="174.4"/>
    <n v="195.9"/>
    <n v="188.1"/>
    <n v="185.9"/>
    <n v="187.8"/>
    <n v="0"/>
    <n v="182.8"/>
    <n v="176.4"/>
    <n v="183.5"/>
    <n v="167.8"/>
    <n v="171.2"/>
    <n v="177.3"/>
    <n v="175.7"/>
    <n v="175.5"/>
    <n v="175.16153846153844"/>
    <n v="183.55"/>
    <n v="88.2"/>
    <n v="179.6"/>
    <n v="187.26666666666665"/>
    <n v="177.1"/>
    <n v="-3.9370078740158434E-3"/>
  </r>
  <r>
    <x v="1"/>
    <x v="9"/>
    <x v="11"/>
    <n v="170.2"/>
    <n v="212.9"/>
    <n v="191.9"/>
    <n v="173.9"/>
    <n v="179.1"/>
    <n v="159.5"/>
    <n v="178.7"/>
    <n v="171.3"/>
    <n v="123.1"/>
    <n v="200.5"/>
    <n v="162.80000000000001"/>
    <n v="193.3"/>
    <n v="178.6"/>
    <n v="201.1"/>
    <n v="177.7"/>
    <n v="164.5"/>
    <n v="175.7"/>
    <n v="170.7"/>
    <n v="180.6"/>
    <n v="167.3"/>
    <n v="177.2"/>
    <n v="159.4"/>
    <n v="167.1"/>
    <n v="171.8"/>
    <n v="176"/>
    <n v="168.2"/>
    <n v="176.59999999999997"/>
    <n v="184.1"/>
    <n v="169"/>
    <n v="176.6"/>
    <n v="172.63333333333333"/>
    <n v="174.1"/>
    <n v="0"/>
  </r>
  <r>
    <x v="2"/>
    <x v="9"/>
    <x v="11"/>
    <n v="169.2"/>
    <n v="209"/>
    <n v="190.2"/>
    <n v="173.6"/>
    <n v="188.5"/>
    <n v="158"/>
    <n v="159.9"/>
    <n v="170.8"/>
    <n v="121.8"/>
    <n v="205.2"/>
    <n v="171"/>
    <n v="190.3"/>
    <n v="175.9"/>
    <n v="197.3"/>
    <n v="184"/>
    <n v="177"/>
    <n v="183"/>
    <n v="170.7"/>
    <n v="182"/>
    <n v="172.1"/>
    <n v="181.1"/>
    <n v="163.4"/>
    <n v="168.9"/>
    <n v="174.1"/>
    <n v="175.8"/>
    <n v="172"/>
    <n v="175.64615384615385"/>
    <n v="183.10000000000002"/>
    <n v="171.39999999999998"/>
    <n v="178.45"/>
    <n v="181.33333333333334"/>
    <n v="175.7"/>
    <n v="-4.5325779036827843E-3"/>
  </r>
  <r>
    <x v="0"/>
    <x v="10"/>
    <x v="0"/>
    <n v="174"/>
    <n v="208.3"/>
    <n v="192.9"/>
    <n v="174.3"/>
    <n v="192.6"/>
    <n v="156.30000000000001"/>
    <n v="142.9"/>
    <n v="170.7"/>
    <n v="120.3"/>
    <n v="210.5"/>
    <n v="176.9"/>
    <n v="188.5"/>
    <n v="175"/>
    <n v="196.9"/>
    <n v="189"/>
    <n v="186.3"/>
    <n v="188.6"/>
    <n v="0"/>
    <n v="183.2"/>
    <n v="177.2"/>
    <n v="184.7"/>
    <n v="168.2"/>
    <n v="171.8"/>
    <n v="177.8"/>
    <n v="178.4"/>
    <n v="176.5"/>
    <n v="175.63076923076926"/>
    <n v="184.35000000000002"/>
    <n v="88.6"/>
    <n v="181.55"/>
    <n v="187.96666666666667"/>
    <n v="177.8"/>
    <n v="3.9525691699605703E-3"/>
  </r>
  <r>
    <x v="1"/>
    <x v="10"/>
    <x v="0"/>
    <n v="173.3"/>
    <n v="215.2"/>
    <n v="197"/>
    <n v="175.2"/>
    <n v="178"/>
    <n v="160.5"/>
    <n v="175.3"/>
    <n v="171.2"/>
    <n v="122.7"/>
    <n v="204.3"/>
    <n v="163.69999999999999"/>
    <n v="194.3"/>
    <n v="179.5"/>
    <n v="201.6"/>
    <n v="178.7"/>
    <n v="165.3"/>
    <n v="176.6"/>
    <n v="172.1"/>
    <n v="180.1"/>
    <n v="168"/>
    <n v="178.5"/>
    <n v="159.5"/>
    <n v="167.8"/>
    <n v="171.8"/>
    <n v="178.8"/>
    <n v="168.9"/>
    <n v="177.70769230769233"/>
    <n v="184.7"/>
    <n v="170.05"/>
    <n v="178.65"/>
    <n v="173.53333333333333"/>
    <n v="174.9"/>
    <n v="4.5950603101666361E-3"/>
  </r>
  <r>
    <x v="2"/>
    <x v="10"/>
    <x v="0"/>
    <n v="173.8"/>
    <n v="210.7"/>
    <n v="194.5"/>
    <n v="174.6"/>
    <n v="187.2"/>
    <n v="158.30000000000001"/>
    <n v="153.9"/>
    <n v="170.9"/>
    <n v="121.1"/>
    <n v="208.4"/>
    <n v="171.4"/>
    <n v="191.2"/>
    <n v="176.7"/>
    <n v="198.2"/>
    <n v="184.9"/>
    <n v="177.6"/>
    <n v="183.8"/>
    <n v="172.1"/>
    <n v="182"/>
    <n v="172.9"/>
    <n v="182.3"/>
    <n v="163.6"/>
    <n v="169.5"/>
    <n v="174.3"/>
    <n v="178.6"/>
    <n v="172.8"/>
    <n v="176.36153846153846"/>
    <n v="183.85"/>
    <n v="172.5"/>
    <n v="180.45"/>
    <n v="182.1"/>
    <n v="176.5"/>
    <n v="4.5532157085942599E-3"/>
  </r>
  <r>
    <x v="0"/>
    <x v="10"/>
    <x v="1"/>
    <n v="174.2"/>
    <n v="205.2"/>
    <n v="173.9"/>
    <n v="177"/>
    <n v="183.4"/>
    <n v="167.2"/>
    <n v="140.9"/>
    <n v="170.4"/>
    <n v="119.1"/>
    <n v="212.1"/>
    <n v="177.6"/>
    <n v="189.9"/>
    <n v="174.8"/>
    <n v="198.3"/>
    <n v="190"/>
    <n v="187"/>
    <n v="189.6"/>
    <n v="0"/>
    <n v="181.6"/>
    <n v="178.6"/>
    <n v="186.6"/>
    <n v="169"/>
    <n v="172.8"/>
    <n v="178.5"/>
    <n v="180.7"/>
    <n v="177.9"/>
    <n v="174.28461538461536"/>
    <n v="185.55"/>
    <n v="89.3"/>
    <n v="183.64999999999998"/>
    <n v="188.86666666666667"/>
    <n v="178"/>
    <n v="1.1248593925758639E-3"/>
  </r>
  <r>
    <x v="1"/>
    <x v="10"/>
    <x v="1"/>
    <n v="174.7"/>
    <n v="212.2"/>
    <n v="177.2"/>
    <n v="177.9"/>
    <n v="172.2"/>
    <n v="172.1"/>
    <n v="175.8"/>
    <n v="172.2"/>
    <n v="121.9"/>
    <n v="204.8"/>
    <n v="164.9"/>
    <n v="196.6"/>
    <n v="180.7"/>
    <n v="202.7"/>
    <n v="180.3"/>
    <n v="167"/>
    <n v="178.2"/>
    <n v="173.5"/>
    <n v="182.8"/>
    <n v="169.2"/>
    <n v="180.8"/>
    <n v="159.80000000000001"/>
    <n v="168.4"/>
    <n v="172.5"/>
    <n v="181.4"/>
    <n v="170"/>
    <n v="177.16923076923075"/>
    <n v="185.55"/>
    <n v="171.35"/>
    <n v="181.10000000000002"/>
    <n v="175.16666666666666"/>
    <n v="176.3"/>
    <n v="8.0045740423099233E-3"/>
  </r>
  <r>
    <x v="2"/>
    <x v="10"/>
    <x v="1"/>
    <n v="174.4"/>
    <n v="207.7"/>
    <n v="175.2"/>
    <n v="177.3"/>
    <n v="179.3"/>
    <n v="169.5"/>
    <n v="152.69999999999999"/>
    <n v="171"/>
    <n v="120"/>
    <n v="209.7"/>
    <n v="172.3"/>
    <n v="193"/>
    <n v="177"/>
    <n v="199.5"/>
    <n v="186.2"/>
    <n v="178.7"/>
    <n v="185.1"/>
    <n v="173.5"/>
    <n v="182.1"/>
    <n v="174.2"/>
    <n v="184.4"/>
    <n v="164.2"/>
    <n v="170.3"/>
    <n v="175"/>
    <n v="181"/>
    <n v="174.1"/>
    <n v="175.3153846153846"/>
    <n v="184.9"/>
    <n v="173.85"/>
    <n v="182.7"/>
    <n v="183.33333333333334"/>
    <n v="177.2"/>
    <n v="3.9660056657223148E-3"/>
  </r>
  <r>
    <x v="0"/>
    <x v="10"/>
    <x v="2"/>
    <n v="174.3"/>
    <n v="205.2"/>
    <n v="173.9"/>
    <n v="177"/>
    <n v="183.3"/>
    <n v="167.2"/>
    <n v="140.9"/>
    <n v="170.5"/>
    <n v="119.1"/>
    <n v="212.1"/>
    <n v="177.6"/>
    <n v="189.9"/>
    <n v="174.8"/>
    <n v="198.4"/>
    <n v="190"/>
    <n v="187"/>
    <n v="189.6"/>
    <n v="0"/>
    <n v="181.4"/>
    <n v="178.6"/>
    <n v="186.6"/>
    <n v="169"/>
    <n v="172.8"/>
    <n v="178.5"/>
    <n v="180.7"/>
    <n v="177.9"/>
    <n v="174.2923076923077"/>
    <n v="185.60000000000002"/>
    <n v="89.3"/>
    <n v="183.64999999999998"/>
    <n v="188.86666666666667"/>
    <n v="178"/>
    <n v="0"/>
  </r>
  <r>
    <x v="1"/>
    <x v="10"/>
    <x v="2"/>
    <n v="174.7"/>
    <n v="212.2"/>
    <n v="177.2"/>
    <n v="177.9"/>
    <n v="172.2"/>
    <n v="172.1"/>
    <n v="175.9"/>
    <n v="172.2"/>
    <n v="121.9"/>
    <n v="204.8"/>
    <n v="164.9"/>
    <n v="196.6"/>
    <n v="180.8"/>
    <n v="202.7"/>
    <n v="180.2"/>
    <n v="167"/>
    <n v="178.2"/>
    <n v="173.5"/>
    <n v="182.6"/>
    <n v="169.2"/>
    <n v="180.8"/>
    <n v="159.80000000000001"/>
    <n v="168.4"/>
    <n v="172.5"/>
    <n v="181.5"/>
    <n v="170"/>
    <n v="177.1846153846154"/>
    <n v="185.55"/>
    <n v="171.35"/>
    <n v="181.15"/>
    <n v="175.13333333333333"/>
    <n v="176.3"/>
    <n v="0"/>
  </r>
  <r>
    <x v="2"/>
    <x v="10"/>
    <x v="2"/>
    <n v="174.4"/>
    <n v="207.7"/>
    <n v="175.2"/>
    <n v="177.3"/>
    <n v="179.2"/>
    <n v="169.5"/>
    <n v="152.80000000000001"/>
    <n v="171.1"/>
    <n v="120"/>
    <n v="209.7"/>
    <n v="172.3"/>
    <n v="193"/>
    <n v="177"/>
    <n v="199.5"/>
    <n v="186.1"/>
    <n v="178.7"/>
    <n v="185.1"/>
    <n v="173.5"/>
    <n v="181.9"/>
    <n v="174.2"/>
    <n v="184.4"/>
    <n v="164.2"/>
    <n v="170.3"/>
    <n v="175"/>
    <n v="181"/>
    <n v="174.1"/>
    <n v="175.32307692307691"/>
    <n v="184.9"/>
    <n v="173.85"/>
    <n v="182.7"/>
    <n v="183.29999999999998"/>
    <n v="177.2"/>
    <n v="0"/>
  </r>
  <r>
    <x v="0"/>
    <x v="10"/>
    <x v="3"/>
    <n v="173.3"/>
    <n v="206.9"/>
    <n v="167.9"/>
    <n v="178.2"/>
    <n v="178.5"/>
    <n v="173.7"/>
    <n v="142.80000000000001"/>
    <n v="172.8"/>
    <n v="120.4"/>
    <n v="215.5"/>
    <n v="178.2"/>
    <n v="190.5"/>
    <n v="175.5"/>
    <n v="199.5"/>
    <n v="190.7"/>
    <n v="187.3"/>
    <n v="190.2"/>
    <n v="0"/>
    <n v="181.5"/>
    <n v="179.1"/>
    <n v="187.2"/>
    <n v="169.4"/>
    <n v="173.2"/>
    <n v="179.4"/>
    <n v="183.8"/>
    <n v="178.9"/>
    <n v="174.93846153846152"/>
    <n v="186.35"/>
    <n v="89.55"/>
    <n v="185.5"/>
    <n v="189.4"/>
    <n v="178.8"/>
    <n v="4.4943820224719738E-3"/>
  </r>
  <r>
    <x v="1"/>
    <x v="10"/>
    <x v="3"/>
    <n v="174.8"/>
    <n v="213.7"/>
    <n v="172.4"/>
    <n v="178.8"/>
    <n v="168.7"/>
    <n v="179.2"/>
    <n v="179.9"/>
    <n v="174.7"/>
    <n v="123.1"/>
    <n v="207.8"/>
    <n v="165.5"/>
    <n v="197"/>
    <n v="182.1"/>
    <n v="203.5"/>
    <n v="181"/>
    <n v="167.7"/>
    <n v="178.9"/>
    <n v="175.2"/>
    <n v="182.1"/>
    <n v="169.6"/>
    <n v="181.5"/>
    <n v="160.1"/>
    <n v="168.8"/>
    <n v="174.2"/>
    <n v="184.4"/>
    <n v="170.9"/>
    <n v="178.28461538461539"/>
    <n v="186.15"/>
    <n v="172.39999999999998"/>
    <n v="182.95"/>
    <n v="175.86666666666667"/>
    <n v="177.4"/>
    <n v="6.239364719228555E-3"/>
  </r>
  <r>
    <x v="2"/>
    <x v="10"/>
    <x v="3"/>
    <n v="173.8"/>
    <n v="209.3"/>
    <n v="169.6"/>
    <n v="178.4"/>
    <n v="174.9"/>
    <n v="176.3"/>
    <n v="155.4"/>
    <n v="173.4"/>
    <n v="121.3"/>
    <n v="212.9"/>
    <n v="172.9"/>
    <n v="193.5"/>
    <n v="177.9"/>
    <n v="200.6"/>
    <n v="186.9"/>
    <n v="179.2"/>
    <n v="185.7"/>
    <n v="175.2"/>
    <n v="181.7"/>
    <n v="174.6"/>
    <n v="185"/>
    <n v="164.5"/>
    <n v="170.7"/>
    <n v="176.4"/>
    <n v="184"/>
    <n v="175"/>
    <n v="176.12307692307695"/>
    <n v="185.64999999999998"/>
    <n v="174.89999999999998"/>
    <n v="184.5"/>
    <n v="183.93333333333331"/>
    <n v="178.1"/>
    <n v="5.0790067720090613E-3"/>
  </r>
  <r>
    <x v="0"/>
    <x v="10"/>
    <x v="4"/>
    <n v="173.2"/>
    <n v="211.5"/>
    <n v="171"/>
    <n v="179.6"/>
    <n v="173.3"/>
    <n v="169"/>
    <n v="148.69999999999999"/>
    <n v="174.9"/>
    <n v="121.9"/>
    <n v="221"/>
    <n v="178.7"/>
    <n v="191.1"/>
    <n v="176.8"/>
    <n v="199.9"/>
    <n v="191.2"/>
    <n v="187.9"/>
    <n v="190.8"/>
    <n v="0"/>
    <n v="182.5"/>
    <n v="179.8"/>
    <n v="187.8"/>
    <n v="169.7"/>
    <n v="173.8"/>
    <n v="180.3"/>
    <n v="184.9"/>
    <n v="179.5"/>
    <n v="176.20769230769235"/>
    <n v="186.85000000000002"/>
    <n v="89.9"/>
    <n v="186.35000000000002"/>
    <n v="189.9666666666667"/>
    <n v="179.8"/>
    <n v="5.5928411633109614E-3"/>
  </r>
  <r>
    <x v="1"/>
    <x v="10"/>
    <x v="4"/>
    <n v="174.7"/>
    <n v="219.4"/>
    <n v="176.7"/>
    <n v="179.4"/>
    <n v="164.4"/>
    <n v="175.8"/>
    <n v="185"/>
    <n v="176.9"/>
    <n v="124.2"/>
    <n v="211.9"/>
    <n v="165.9"/>
    <n v="197.7"/>
    <n v="183.1"/>
    <n v="204.2"/>
    <n v="181.3"/>
    <n v="168.1"/>
    <n v="179.3"/>
    <n v="175.6"/>
    <n v="183.4"/>
    <n v="170.1"/>
    <n v="182.2"/>
    <n v="160.4"/>
    <n v="169.2"/>
    <n v="174.8"/>
    <n v="185.6"/>
    <n v="171.6"/>
    <n v="179.62307692307692"/>
    <n v="186.7"/>
    <n v="172.85"/>
    <n v="183.89999999999998"/>
    <n v="176.23333333333335"/>
    <n v="178.2"/>
    <n v="4.5095828635850219E-3"/>
  </r>
  <r>
    <x v="2"/>
    <x v="10"/>
    <x v="4"/>
    <n v="173.7"/>
    <n v="214.3"/>
    <n v="173.2"/>
    <n v="179.5"/>
    <n v="170"/>
    <n v="172.2"/>
    <n v="161"/>
    <n v="175.6"/>
    <n v="122.7"/>
    <n v="218"/>
    <n v="173.4"/>
    <n v="194.2"/>
    <n v="179.1"/>
    <n v="201"/>
    <n v="187.3"/>
    <n v="179.7"/>
    <n v="186.2"/>
    <n v="175.6"/>
    <n v="182.8"/>
    <n v="175.2"/>
    <n v="185.7"/>
    <n v="164.8"/>
    <n v="171.2"/>
    <n v="177.1"/>
    <n v="185.2"/>
    <n v="175.7"/>
    <n v="177.45384615384617"/>
    <n v="186.1"/>
    <n v="175.39999999999998"/>
    <n v="185.45"/>
    <n v="184.4"/>
    <n v="179.1"/>
    <n v="5.614823133071308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n v="152.9"/>
    <n v="214.7"/>
    <n v="161.4"/>
    <n v="164.6"/>
    <n v="209.9"/>
    <n v="168"/>
    <n v="160.4"/>
    <n v="165"/>
    <n v="118.9"/>
    <n v="186.6"/>
    <n v="173.2"/>
    <n v="180.4"/>
    <n v="170.8"/>
    <n v="171.2923076923077"/>
    <n v="0"/>
    <n v="0"/>
  </r>
  <r>
    <x v="1"/>
    <x v="0"/>
    <x v="0"/>
    <n v="156.69999999999999"/>
    <n v="221.2"/>
    <n v="164.1"/>
    <n v="165.4"/>
    <n v="189.5"/>
    <n v="174.5"/>
    <n v="203.2"/>
    <n v="164.1"/>
    <n v="121.2"/>
    <n v="181.4"/>
    <n v="158.5"/>
    <n v="184.9"/>
    <n v="177.5"/>
    <n v="174.01538461538465"/>
    <n v="0"/>
    <n v="0"/>
  </r>
  <r>
    <x v="2"/>
    <x v="0"/>
    <x v="0"/>
    <n v="154.1"/>
    <n v="217"/>
    <n v="162.4"/>
    <n v="164.9"/>
    <n v="202.4"/>
    <n v="171"/>
    <n v="174.9"/>
    <n v="164.7"/>
    <n v="119.7"/>
    <n v="184.9"/>
    <n v="167.1"/>
    <n v="182.5"/>
    <n v="173.3"/>
    <n v="172.22307692307697"/>
    <n v="0"/>
    <n v="0"/>
  </r>
  <r>
    <x v="0"/>
    <x v="0"/>
    <x v="1"/>
    <n v="153.80000000000001"/>
    <n v="217.2"/>
    <n v="169.6"/>
    <n v="165.4"/>
    <n v="208.1"/>
    <n v="165.8"/>
    <n v="167.3"/>
    <n v="164.6"/>
    <n v="119.1"/>
    <n v="188.9"/>
    <n v="174.2"/>
    <n v="181.9"/>
    <n v="172.4"/>
    <n v="172.94615384615386"/>
    <n v="1.6538461538461604"/>
    <n v="9.6551104724268387E-3"/>
  </r>
  <r>
    <x v="1"/>
    <x v="0"/>
    <x v="1"/>
    <n v="157.5"/>
    <n v="223.4"/>
    <n v="172.8"/>
    <n v="166.4"/>
    <n v="188.6"/>
    <n v="174.1"/>
    <n v="211.5"/>
    <n v="163.6"/>
    <n v="121.4"/>
    <n v="183.5"/>
    <n v="159.1"/>
    <n v="186.3"/>
    <n v="179.3"/>
    <n v="175.96153846153845"/>
    <n v="1.9461538461538055"/>
    <n v="1.1183803377243156E-2"/>
  </r>
  <r>
    <x v="2"/>
    <x v="0"/>
    <x v="1"/>
    <n v="155"/>
    <n v="219.4"/>
    <n v="170.8"/>
    <n v="165.8"/>
    <n v="200.9"/>
    <n v="169.7"/>
    <n v="182.3"/>
    <n v="164.3"/>
    <n v="119.9"/>
    <n v="187.1"/>
    <n v="167.9"/>
    <n v="183.9"/>
    <n v="174.9"/>
    <n v="173.99230769230769"/>
    <n v="1.7692307692307168"/>
    <n v="1.0272901871454425E-2"/>
  </r>
  <r>
    <x v="0"/>
    <x v="0"/>
    <x v="2"/>
    <n v="155.19999999999999"/>
    <n v="210.8"/>
    <n v="174.3"/>
    <n v="166.3"/>
    <n v="202.2"/>
    <n v="169.6"/>
    <n v="168.6"/>
    <n v="164.4"/>
    <n v="119.2"/>
    <n v="191.8"/>
    <n v="174.5"/>
    <n v="183.1"/>
    <n v="172.5"/>
    <n v="173.26923076923077"/>
    <n v="0.32307692307691127"/>
    <n v="1.868078103455876E-3"/>
  </r>
  <r>
    <x v="1"/>
    <x v="0"/>
    <x v="2"/>
    <n v="159.30000000000001"/>
    <n v="217.1"/>
    <n v="176.6"/>
    <n v="167.1"/>
    <n v="184.8"/>
    <n v="179.5"/>
    <n v="208.5"/>
    <n v="164"/>
    <n v="121.5"/>
    <n v="186.3"/>
    <n v="159.80000000000001"/>
    <n v="187.7"/>
    <n v="179.4"/>
    <n v="176.27692307692308"/>
    <n v="0.31538461538463025"/>
    <n v="1.7923497267760408E-3"/>
  </r>
  <r>
    <x v="2"/>
    <x v="0"/>
    <x v="2"/>
    <n v="156.5"/>
    <n v="213"/>
    <n v="175.2"/>
    <n v="166.6"/>
    <n v="195.8"/>
    <n v="174.2"/>
    <n v="182.1"/>
    <n v="164.3"/>
    <n v="120"/>
    <n v="190"/>
    <n v="168.4"/>
    <n v="185.2"/>
    <n v="175"/>
    <n v="174.33076923076925"/>
    <n v="0.33846153846155858"/>
    <n v="1.9452672531943328E-3"/>
  </r>
  <r>
    <x v="0"/>
    <x v="0"/>
    <x v="3"/>
    <n v="159.5"/>
    <n v="204.1"/>
    <n v="168.3"/>
    <n v="167.9"/>
    <n v="198.1"/>
    <n v="169.2"/>
    <n v="173.1"/>
    <n v="167.1"/>
    <n v="120.2"/>
    <n v="195.6"/>
    <n v="174.8"/>
    <n v="184"/>
    <n v="173.9"/>
    <n v="173.5230769230769"/>
    <n v="0.2538461538461263"/>
    <n v="1.465038845726811E-3"/>
  </r>
  <r>
    <x v="1"/>
    <x v="0"/>
    <x v="3"/>
    <n v="162.1"/>
    <n v="210.9"/>
    <n v="170.6"/>
    <n v="168.4"/>
    <n v="182.5"/>
    <n v="177.1"/>
    <n v="213.1"/>
    <n v="167.3"/>
    <n v="122.2"/>
    <n v="189.7"/>
    <n v="160.5"/>
    <n v="188.9"/>
    <n v="180.4"/>
    <n v="176.43846153846152"/>
    <n v="0.16153846153844142"/>
    <n v="9.1639029499028556E-4"/>
  </r>
  <r>
    <x v="2"/>
    <x v="0"/>
    <x v="3"/>
    <n v="160.30000000000001"/>
    <n v="206.5"/>
    <n v="169.2"/>
    <n v="168.1"/>
    <n v="192.4"/>
    <n v="172.9"/>
    <n v="186.7"/>
    <n v="167.2"/>
    <n v="120.9"/>
    <n v="193.6"/>
    <n v="168.8"/>
    <n v="186.3"/>
    <n v="176.3"/>
    <n v="174.55384615384617"/>
    <n v="0.22307692307691696"/>
    <n v="1.2796187618585007E-3"/>
  </r>
  <r>
    <x v="0"/>
    <x v="0"/>
    <x v="4"/>
    <n v="162.9"/>
    <n v="206.7"/>
    <n v="169"/>
    <n v="169.5"/>
    <n v="194.1"/>
    <n v="164.1"/>
    <n v="176.9"/>
    <n v="169"/>
    <n v="120.8"/>
    <n v="199.1"/>
    <n v="175.4"/>
    <n v="184.8"/>
    <n v="175.5"/>
    <n v="174.44615384615386"/>
    <n v="0.92307692307696243"/>
    <n v="5.3196205337354878E-3"/>
  </r>
  <r>
    <x v="1"/>
    <x v="0"/>
    <x v="4"/>
    <n v="164.9"/>
    <n v="213.7"/>
    <n v="170.9"/>
    <n v="170.1"/>
    <n v="179.3"/>
    <n v="167.5"/>
    <n v="220.8"/>
    <n v="169.2"/>
    <n v="123.1"/>
    <n v="193.6"/>
    <n v="161.1"/>
    <n v="190.4"/>
    <n v="181.8"/>
    <n v="177.41538461538462"/>
    <n v="0.9769230769231001"/>
    <n v="5.5369054366309033E-3"/>
  </r>
  <r>
    <x v="2"/>
    <x v="0"/>
    <x v="4"/>
    <n v="163.5"/>
    <n v="209.2"/>
    <n v="169.7"/>
    <n v="169.7"/>
    <n v="188.7"/>
    <n v="165.7"/>
    <n v="191.8"/>
    <n v="169.1"/>
    <n v="121.6"/>
    <n v="197.3"/>
    <n v="169.4"/>
    <n v="187.4"/>
    <n v="177.8"/>
    <n v="175.45384615384617"/>
    <n v="0.90000000000000568"/>
    <n v="5.1560021152829514E-3"/>
  </r>
  <r>
    <x v="0"/>
    <x v="0"/>
    <x v="5"/>
    <n v="164.7"/>
    <n v="208.8"/>
    <n v="170.3"/>
    <n v="170.9"/>
    <n v="191.6"/>
    <n v="162.19999999999999"/>
    <n v="184.8"/>
    <n v="169.7"/>
    <n v="121.1"/>
    <n v="201.6"/>
    <n v="175.8"/>
    <n v="185.6"/>
    <n v="177.4"/>
    <n v="175.73076923076923"/>
    <n v="1.2846153846153641"/>
    <n v="7.3639650762852681E-3"/>
  </r>
  <r>
    <x v="1"/>
    <x v="0"/>
    <x v="5"/>
    <n v="166.4"/>
    <n v="214.9"/>
    <n v="171.9"/>
    <n v="171"/>
    <n v="177.7"/>
    <n v="165.7"/>
    <n v="228.6"/>
    <n v="169.9"/>
    <n v="123.4"/>
    <n v="196.4"/>
    <n v="161.6"/>
    <n v="191.5"/>
    <n v="183.3"/>
    <n v="178.63846153846154"/>
    <n v="1.223076923076917"/>
    <n v="6.8938605619146371E-3"/>
  </r>
  <r>
    <x v="2"/>
    <x v="0"/>
    <x v="5"/>
    <n v="165.2"/>
    <n v="210.9"/>
    <n v="170.9"/>
    <n v="170.9"/>
    <n v="186.5"/>
    <n v="163.80000000000001"/>
    <n v="199.7"/>
    <n v="169.8"/>
    <n v="121.9"/>
    <n v="199.9"/>
    <n v="169.9"/>
    <n v="188.3"/>
    <n v="179.6"/>
    <n v="176.71538461538464"/>
    <n v="1.2615384615384642"/>
    <n v="7.1901442413082701E-3"/>
  </r>
  <r>
    <x v="0"/>
    <x v="0"/>
    <x v="6"/>
    <n v="166.9"/>
    <n v="207.2"/>
    <n v="180.2"/>
    <n v="172.3"/>
    <n v="194"/>
    <n v="159.1"/>
    <n v="171.6"/>
    <n v="170.2"/>
    <n v="121.5"/>
    <n v="204.8"/>
    <n v="176.4"/>
    <n v="186.9"/>
    <n v="176.6"/>
    <n v="175.97692307692307"/>
    <n v="0.24615384615384528"/>
    <n v="1.4007441453272001E-3"/>
  </r>
  <r>
    <x v="1"/>
    <x v="0"/>
    <x v="6"/>
    <n v="168.4"/>
    <n v="213.4"/>
    <n v="183.2"/>
    <n v="172.3"/>
    <n v="180"/>
    <n v="162.6"/>
    <n v="205.5"/>
    <n v="171"/>
    <n v="123.4"/>
    <n v="198.8"/>
    <n v="162.1"/>
    <n v="192.4"/>
    <n v="181.3"/>
    <n v="178.03076923076924"/>
    <n v="-0.60769230769230376"/>
    <n v="-3.4017999397149157E-3"/>
  </r>
  <r>
    <x v="2"/>
    <x v="0"/>
    <x v="6"/>
    <n v="167.4"/>
    <n v="209.4"/>
    <n v="181.4"/>
    <n v="172.3"/>
    <n v="188.9"/>
    <n v="160.69999999999999"/>
    <n v="183.1"/>
    <n v="170.5"/>
    <n v="122.1"/>
    <n v="202.8"/>
    <n v="170.4"/>
    <n v="189.5"/>
    <n v="178.3"/>
    <n v="176.67692307692309"/>
    <n v="-3.8461538461547207E-2"/>
    <n v="-2.176468027685168E-4"/>
  </r>
  <r>
    <x v="0"/>
    <x v="0"/>
    <x v="7"/>
    <n v="168.8"/>
    <n v="206.9"/>
    <n v="189.1"/>
    <n v="173.4"/>
    <n v="193.9"/>
    <n v="156.69999999999999"/>
    <n v="150.19999999999999"/>
    <n v="170.5"/>
    <n v="121.2"/>
    <n v="207.5"/>
    <n v="176.8"/>
    <n v="187.7"/>
    <n v="174.4"/>
    <n v="175.16153846153844"/>
    <n v="-0.81538461538463025"/>
    <n v="-4.6334746688814939E-3"/>
  </r>
  <r>
    <x v="1"/>
    <x v="0"/>
    <x v="7"/>
    <n v="170.2"/>
    <n v="212.9"/>
    <n v="191.9"/>
    <n v="173.9"/>
    <n v="179.1"/>
    <n v="159.5"/>
    <n v="178.7"/>
    <n v="171.3"/>
    <n v="123.1"/>
    <n v="200.5"/>
    <n v="162.80000000000001"/>
    <n v="193.3"/>
    <n v="178.6"/>
    <n v="176.59999999999997"/>
    <n v="-1.4307692307692719"/>
    <n v="-8.0366401659179628E-3"/>
  </r>
  <r>
    <x v="2"/>
    <x v="0"/>
    <x v="7"/>
    <n v="169.2"/>
    <n v="209"/>
    <n v="190.2"/>
    <n v="173.6"/>
    <n v="188.5"/>
    <n v="158"/>
    <n v="159.9"/>
    <n v="170.8"/>
    <n v="121.8"/>
    <n v="205.2"/>
    <n v="171"/>
    <n v="190.3"/>
    <n v="175.9"/>
    <n v="175.64615384615385"/>
    <n v="-1.0307692307692378"/>
    <n v="-5.8342041100662182E-3"/>
  </r>
  <r>
    <x v="0"/>
    <x v="1"/>
    <x v="8"/>
    <n v="174"/>
    <n v="208.3"/>
    <n v="192.9"/>
    <n v="174.3"/>
    <n v="192.6"/>
    <n v="156.30000000000001"/>
    <n v="142.9"/>
    <n v="170.7"/>
    <n v="120.3"/>
    <n v="210.5"/>
    <n v="176.9"/>
    <n v="188.5"/>
    <n v="175"/>
    <n v="175.63076923076926"/>
    <n v="0.46923076923081908"/>
    <n v="2.6788459004877469E-3"/>
  </r>
  <r>
    <x v="1"/>
    <x v="1"/>
    <x v="8"/>
    <n v="173.3"/>
    <n v="215.2"/>
    <n v="197"/>
    <n v="175.2"/>
    <n v="178"/>
    <n v="160.5"/>
    <n v="175.3"/>
    <n v="171.2"/>
    <n v="122.7"/>
    <n v="204.3"/>
    <n v="163.69999999999999"/>
    <n v="194.3"/>
    <n v="179.5"/>
    <n v="177.70769230769233"/>
    <n v="1.1076923076923606"/>
    <n v="6.2723233731164256E-3"/>
  </r>
  <r>
    <x v="2"/>
    <x v="1"/>
    <x v="8"/>
    <n v="173.8"/>
    <n v="210.7"/>
    <n v="194.5"/>
    <n v="174.6"/>
    <n v="187.2"/>
    <n v="158.30000000000001"/>
    <n v="153.9"/>
    <n v="170.9"/>
    <n v="121.1"/>
    <n v="208.4"/>
    <n v="171.4"/>
    <n v="191.2"/>
    <n v="176.7"/>
    <n v="176.36153846153846"/>
    <n v="0.71538461538460751"/>
    <n v="4.0728737847069707E-3"/>
  </r>
  <r>
    <x v="0"/>
    <x v="1"/>
    <x v="9"/>
    <n v="174.2"/>
    <n v="205.2"/>
    <n v="173.9"/>
    <n v="177"/>
    <n v="183.4"/>
    <n v="167.2"/>
    <n v="140.9"/>
    <n v="170.4"/>
    <n v="119.1"/>
    <n v="212.1"/>
    <n v="177.6"/>
    <n v="189.9"/>
    <n v="174.8"/>
    <n v="174.28461538461536"/>
    <n v="-1.3461538461538964"/>
    <n v="-7.6646811492644754E-3"/>
  </r>
  <r>
    <x v="1"/>
    <x v="1"/>
    <x v="9"/>
    <n v="174.7"/>
    <n v="212.2"/>
    <n v="177.2"/>
    <n v="177.9"/>
    <n v="172.2"/>
    <n v="172.1"/>
    <n v="175.8"/>
    <n v="172.2"/>
    <n v="121.9"/>
    <n v="204.8"/>
    <n v="164.9"/>
    <n v="196.6"/>
    <n v="180.7"/>
    <n v="177.16923076923075"/>
    <n v="-0.53846153846157563"/>
    <n v="-3.0300406891180342E-3"/>
  </r>
  <r>
    <x v="2"/>
    <x v="1"/>
    <x v="9"/>
    <n v="174.4"/>
    <n v="207.7"/>
    <n v="175.2"/>
    <n v="177.3"/>
    <n v="179.3"/>
    <n v="169.5"/>
    <n v="152.69999999999999"/>
    <n v="171"/>
    <n v="120"/>
    <n v="209.7"/>
    <n v="172.3"/>
    <n v="193"/>
    <n v="177"/>
    <n v="175.3153846153846"/>
    <n v="-1.0461538461538566"/>
    <n v="-5.9318707201117182E-3"/>
  </r>
  <r>
    <x v="0"/>
    <x v="1"/>
    <x v="10"/>
    <n v="174.3"/>
    <n v="205.2"/>
    <n v="173.9"/>
    <n v="177"/>
    <n v="183.3"/>
    <n v="167.2"/>
    <n v="140.9"/>
    <n v="170.5"/>
    <n v="119.1"/>
    <n v="212.1"/>
    <n v="177.6"/>
    <n v="189.9"/>
    <n v="174.8"/>
    <n v="174.2923076923077"/>
    <n v="7.692307692337863E-3"/>
    <n v="4.4136469965305305E-5"/>
  </r>
  <r>
    <x v="1"/>
    <x v="1"/>
    <x v="10"/>
    <n v="174.7"/>
    <n v="212.2"/>
    <n v="177.2"/>
    <n v="177.9"/>
    <n v="172.2"/>
    <n v="172.1"/>
    <n v="175.9"/>
    <n v="172.2"/>
    <n v="121.9"/>
    <n v="204.8"/>
    <n v="164.9"/>
    <n v="196.6"/>
    <n v="180.8"/>
    <n v="177.1846153846154"/>
    <n v="1.5384615384647304E-2"/>
    <n v="8.6835706842833875E-5"/>
  </r>
  <r>
    <x v="2"/>
    <x v="1"/>
    <x v="10"/>
    <n v="174.4"/>
    <n v="207.7"/>
    <n v="175.2"/>
    <n v="177.3"/>
    <n v="179.2"/>
    <n v="169.5"/>
    <n v="152.80000000000001"/>
    <n v="171.1"/>
    <n v="120"/>
    <n v="209.7"/>
    <n v="172.3"/>
    <n v="193"/>
    <n v="177"/>
    <n v="175.32307692307691"/>
    <n v="7.6923076923094413E-3"/>
    <n v="4.3876968978992914E-5"/>
  </r>
  <r>
    <x v="0"/>
    <x v="1"/>
    <x v="11"/>
    <n v="173.3"/>
    <n v="206.9"/>
    <n v="167.9"/>
    <n v="178.2"/>
    <n v="178.5"/>
    <n v="173.7"/>
    <n v="142.80000000000001"/>
    <n v="172.8"/>
    <n v="120.4"/>
    <n v="215.5"/>
    <n v="178.2"/>
    <n v="190.5"/>
    <n v="175.5"/>
    <n v="174.93846153846152"/>
    <n v="0.64615384615382254"/>
    <n v="3.7072998499424895E-3"/>
  </r>
  <r>
    <x v="1"/>
    <x v="1"/>
    <x v="11"/>
    <n v="174.8"/>
    <n v="213.7"/>
    <n v="172.4"/>
    <n v="178.8"/>
    <n v="168.7"/>
    <n v="179.2"/>
    <n v="179.9"/>
    <n v="174.7"/>
    <n v="123.1"/>
    <n v="207.8"/>
    <n v="165.5"/>
    <n v="197"/>
    <n v="182.1"/>
    <n v="178.28461538461539"/>
    <n v="1.0999999999999943"/>
    <n v="6.2082139446035965E-3"/>
  </r>
  <r>
    <x v="2"/>
    <x v="1"/>
    <x v="11"/>
    <n v="173.8"/>
    <n v="209.3"/>
    <n v="169.6"/>
    <n v="178.4"/>
    <n v="174.9"/>
    <n v="176.3"/>
    <n v="155.4"/>
    <n v="173.4"/>
    <n v="121.3"/>
    <n v="212.9"/>
    <n v="172.9"/>
    <n v="193.5"/>
    <n v="177.9"/>
    <n v="176.12307692307695"/>
    <n v="0.80000000000003979"/>
    <n v="4.5630045630047902E-3"/>
  </r>
  <r>
    <x v="0"/>
    <x v="1"/>
    <x v="0"/>
    <n v="173.2"/>
    <n v="211.5"/>
    <n v="171"/>
    <n v="179.6"/>
    <n v="173.3"/>
    <n v="169"/>
    <n v="148.69999999999999"/>
    <n v="174.9"/>
    <n v="121.9"/>
    <n v="221"/>
    <n v="178.7"/>
    <n v="191.1"/>
    <n v="176.8"/>
    <n v="176.20769230769235"/>
    <n v="1.2692307692308304"/>
    <n v="7.2552985665292396E-3"/>
  </r>
  <r>
    <x v="1"/>
    <x v="1"/>
    <x v="0"/>
    <n v="174.7"/>
    <n v="219.4"/>
    <n v="176.7"/>
    <n v="179.4"/>
    <n v="164.4"/>
    <n v="175.8"/>
    <n v="185"/>
    <n v="176.9"/>
    <n v="124.2"/>
    <n v="211.9"/>
    <n v="165.9"/>
    <n v="197.7"/>
    <n v="183.1"/>
    <n v="179.62307692307692"/>
    <n v="1.3384615384615302"/>
    <n v="7.5074427233895206E-3"/>
  </r>
  <r>
    <x v="2"/>
    <x v="1"/>
    <x v="0"/>
    <n v="173.7"/>
    <n v="214.3"/>
    <n v="173.2"/>
    <n v="179.5"/>
    <n v="170"/>
    <n v="172.2"/>
    <n v="161"/>
    <n v="175.6"/>
    <n v="122.7"/>
    <n v="218"/>
    <n v="173.4"/>
    <n v="194.2"/>
    <n v="179.1"/>
    <n v="177.45384615384617"/>
    <n v="1.3307692307692207"/>
    <n v="7.555904961565281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x v="0"/>
    <x v="0"/>
    <x v="0"/>
    <n v="143.4"/>
    <n v="187.5"/>
    <n v="173.4"/>
    <n v="154"/>
    <n v="154.80000000000001"/>
    <n v="147"/>
    <n v="187.8"/>
    <n v="159.5"/>
    <n v="113.8"/>
    <n v="164.5"/>
    <n v="156.1"/>
    <n v="164.3"/>
    <n v="159.6"/>
    <n v="184.6"/>
    <n v="157.5"/>
    <n v="152.4"/>
    <n v="156.80000000000001"/>
    <n v="0"/>
    <n v="150.9"/>
    <n v="153.9"/>
    <n v="162.5"/>
    <n v="147.5"/>
    <n v="155.1"/>
    <n v="163.5"/>
    <n v="156.19999999999999"/>
    <n v="155.9"/>
    <n v="158.89999999999998"/>
    <n v="169.85"/>
    <n v="76.95"/>
    <n v="159.35"/>
    <n v="155.56666666666666"/>
    <n v="158.5"/>
    <x v="0"/>
    <n v="54.79"/>
  </r>
  <r>
    <x v="1"/>
    <x v="0"/>
    <x v="0"/>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61.30769230769232"/>
    <n v="168.60000000000002"/>
    <n v="151.69999999999999"/>
    <n v="155.89999999999998"/>
    <n v="146.66666666666666"/>
    <n v="156"/>
    <x v="1"/>
    <n v="54.79"/>
  </r>
  <r>
    <x v="2"/>
    <x v="0"/>
    <x v="0"/>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9.73076923076923"/>
    <n v="168.05"/>
    <n v="153.85"/>
    <n v="158.05000000000001"/>
    <n v="151.93333333333334"/>
    <n v="157.30000000000001"/>
    <x v="2"/>
    <n v="54.79"/>
  </r>
  <r>
    <x v="0"/>
    <x v="0"/>
    <x v="1"/>
    <x v="1"/>
    <n v="142.80000000000001"/>
    <n v="184"/>
    <n v="168"/>
    <n v="154.4"/>
    <n v="163"/>
    <n v="147.80000000000001"/>
    <n v="149.69999999999999"/>
    <n v="158.30000000000001"/>
    <n v="111.8"/>
    <n v="165"/>
    <n v="160"/>
    <n v="165.8"/>
    <n v="154.69999999999999"/>
    <n v="186.5"/>
    <n v="159.1"/>
    <n v="153.9"/>
    <n v="158.4"/>
    <n v="0"/>
    <n v="154.4"/>
    <n v="154.80000000000001"/>
    <n v="164.3"/>
    <n v="150.19999999999999"/>
    <n v="157"/>
    <n v="163.6"/>
    <n v="155.19999999999999"/>
    <n v="157.19999999999999"/>
    <n v="155.7923076923077"/>
    <n v="171.75"/>
    <n v="77.400000000000006"/>
    <n v="159.75"/>
    <n v="157.13333333333333"/>
    <n v="156.69999999999999"/>
    <x v="3"/>
    <n v="61.22"/>
  </r>
  <r>
    <x v="1"/>
    <x v="0"/>
    <x v="1"/>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8.92307692307693"/>
    <n v="170.3"/>
    <n v="153.15"/>
    <n v="156.5"/>
    <n v="148.06666666666666"/>
    <n v="156.5"/>
    <x v="4"/>
    <n v="61.22"/>
  </r>
  <r>
    <x v="2"/>
    <x v="0"/>
    <x v="1"/>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8692307692308"/>
    <n v="169.9"/>
    <n v="155.35000000000002"/>
    <n v="158.55000000000001"/>
    <n v="153.46666666666667"/>
    <n v="156.6"/>
    <x v="5"/>
    <n v="61.22"/>
  </r>
  <r>
    <x v="0"/>
    <x v="0"/>
    <x v="2"/>
    <x v="2"/>
    <n v="142.5"/>
    <n v="189.4"/>
    <n v="163.19999999999999"/>
    <n v="154.5"/>
    <n v="168.2"/>
    <n v="150.5"/>
    <n v="141"/>
    <n v="159.19999999999999"/>
    <n v="111.7"/>
    <n v="164"/>
    <n v="160.6"/>
    <n v="166.4"/>
    <n v="154.5"/>
    <n v="186.1"/>
    <n v="159.6"/>
    <n v="154.4"/>
    <n v="158.9"/>
    <n v="0"/>
    <n v="156"/>
    <n v="154.80000000000001"/>
    <n v="164.6"/>
    <n v="151.30000000000001"/>
    <n v="157.80000000000001"/>
    <n v="163.80000000000001"/>
    <n v="153.1"/>
    <n v="157.30000000000001"/>
    <n v="155.82307692307694"/>
    <n v="171.95"/>
    <n v="77.400000000000006"/>
    <n v="158.85"/>
    <n v="157.63333333333333"/>
    <n v="156.69999999999999"/>
    <x v="6"/>
    <n v="64.73"/>
  </r>
  <r>
    <x v="1"/>
    <x v="0"/>
    <x v="2"/>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8.80769230769226"/>
    <n v="171.05"/>
    <n v="153.55000000000001"/>
    <n v="155.9"/>
    <n v="148.79999999999998"/>
    <n v="156.9"/>
    <x v="7"/>
    <n v="64.73"/>
  </r>
  <r>
    <x v="2"/>
    <x v="0"/>
    <x v="2"/>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7692307692308"/>
    <n v="170.35"/>
    <n v="155.55000000000001"/>
    <n v="157.75"/>
    <n v="154.03333333333333"/>
    <n v="156.80000000000001"/>
    <x v="8"/>
    <n v="64.73"/>
  </r>
  <r>
    <x v="0"/>
    <x v="0"/>
    <x v="3"/>
    <x v="3"/>
    <n v="142.69999999999999"/>
    <n v="195.5"/>
    <n v="163.4"/>
    <n v="155"/>
    <n v="175.2"/>
    <n v="160.6"/>
    <n v="135.1"/>
    <n v="161.1"/>
    <n v="112.2"/>
    <n v="164.4"/>
    <n v="161.9"/>
    <n v="166.8"/>
    <n v="155.6"/>
    <n v="186.8"/>
    <n v="160.69999999999999"/>
    <n v="155.1"/>
    <n v="159.9"/>
    <n v="0"/>
    <n v="156"/>
    <n v="155.5"/>
    <n v="165.3"/>
    <n v="151.69999999999999"/>
    <n v="158.6"/>
    <n v="164.1"/>
    <n v="154.6"/>
    <n v="158"/>
    <n v="157.65384615384616"/>
    <n v="172.7"/>
    <n v="77.75"/>
    <n v="159.94999999999999"/>
    <n v="158.56666666666663"/>
    <n v="157.6"/>
    <x v="9"/>
    <n v="63.4"/>
  </r>
  <r>
    <x v="1"/>
    <x v="0"/>
    <x v="3"/>
    <x v="3"/>
    <n v="147.6"/>
    <n v="202.5"/>
    <n v="166.4"/>
    <n v="156"/>
    <n v="161.4"/>
    <n v="168.8"/>
    <n v="161.6"/>
    <n v="162.80000000000001"/>
    <n v="114.8"/>
    <n v="162.80000000000001"/>
    <n v="151.5"/>
    <n v="171.4"/>
    <n v="162"/>
    <n v="194.4"/>
    <n v="155.9"/>
    <n v="139.30000000000001"/>
    <n v="153.4"/>
    <n v="161.4"/>
    <n v="154.9"/>
    <n v="147.6"/>
    <n v="157.5"/>
    <n v="142.1"/>
    <n v="149.1"/>
    <n v="157.6"/>
    <n v="156.6"/>
    <n v="150.5"/>
    <n v="160.73846153846154"/>
    <n v="171.75"/>
    <n v="154.5"/>
    <n v="157.05000000000001"/>
    <n v="149.53333333333333"/>
    <n v="158"/>
    <x v="10"/>
    <n v="63.4"/>
  </r>
  <r>
    <x v="2"/>
    <x v="0"/>
    <x v="3"/>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8.77692307692308"/>
    <n v="171"/>
    <n v="156.60000000000002"/>
    <n v="158.85000000000002"/>
    <n v="154.86666666666667"/>
    <n v="157.80000000000001"/>
    <x v="11"/>
    <n v="63.4"/>
  </r>
  <r>
    <x v="0"/>
    <x v="0"/>
    <x v="4"/>
    <x v="4"/>
    <n v="145.1"/>
    <n v="198.5"/>
    <n v="168.6"/>
    <n v="155.80000000000001"/>
    <n v="184.4"/>
    <n v="162.30000000000001"/>
    <n v="138.4"/>
    <n v="165.1"/>
    <n v="114.3"/>
    <n v="169.7"/>
    <n v="164.6"/>
    <n v="169.8"/>
    <n v="158.69999999999999"/>
    <n v="189.6"/>
    <n v="165.3"/>
    <n v="160.6"/>
    <n v="164.5"/>
    <n v="0"/>
    <n v="161.69999999999999"/>
    <n v="158.80000000000001"/>
    <n v="169.1"/>
    <n v="153.19999999999999"/>
    <n v="160"/>
    <n v="167.6"/>
    <n v="159.30000000000001"/>
    <n v="161.1"/>
    <n v="161.17692307692306"/>
    <n v="174.8"/>
    <n v="79.400000000000006"/>
    <n v="164.2"/>
    <n v="163.46666666666667"/>
    <n v="161.1"/>
    <x v="12"/>
    <n v="66.95"/>
  </r>
  <r>
    <x v="1"/>
    <x v="0"/>
    <x v="4"/>
    <x v="4"/>
    <n v="148.80000000000001"/>
    <n v="204.3"/>
    <n v="173"/>
    <n v="156.5"/>
    <n v="168.8"/>
    <n v="172.5"/>
    <n v="166.5"/>
    <n v="165.9"/>
    <n v="115.9"/>
    <n v="165.2"/>
    <n v="152"/>
    <n v="171.1"/>
    <n v="164.2"/>
    <n v="198.2"/>
    <n v="156.5"/>
    <n v="140.19999999999999"/>
    <n v="154.1"/>
    <n v="161.6"/>
    <n v="155.5"/>
    <n v="150.1"/>
    <n v="160.4"/>
    <n v="145"/>
    <n v="152.6"/>
    <n v="156.6"/>
    <n v="157.5"/>
    <n v="152.30000000000001"/>
    <n v="163.43846153846155"/>
    <n v="175.39999999999998"/>
    <n v="155.85"/>
    <n v="158.94999999999999"/>
    <n v="150.26666666666665"/>
    <n v="159.5"/>
    <x v="13"/>
    <n v="66.95"/>
  </r>
  <r>
    <x v="2"/>
    <x v="0"/>
    <x v="4"/>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1.9769230769231"/>
    <n v="173.85000000000002"/>
    <n v="158.14999999999998"/>
    <n v="162.19999999999999"/>
    <n v="158.1"/>
    <n v="160.4"/>
    <x v="14"/>
    <n v="66.95"/>
  </r>
  <r>
    <x v="0"/>
    <x v="0"/>
    <x v="5"/>
    <x v="5"/>
    <n v="145.6"/>
    <n v="200.1"/>
    <n v="179.3"/>
    <n v="156.1"/>
    <n v="190.4"/>
    <n v="158.6"/>
    <n v="144.69999999999999"/>
    <n v="165.5"/>
    <n v="114.6"/>
    <n v="170"/>
    <n v="165.5"/>
    <n v="171.7"/>
    <n v="160.5"/>
    <n v="189.1"/>
    <n v="165.3"/>
    <n v="159.9"/>
    <n v="164.6"/>
    <n v="0"/>
    <n v="162.1"/>
    <n v="159.19999999999999"/>
    <n v="169.7"/>
    <n v="154.19999999999999"/>
    <n v="160.4"/>
    <n v="166.8"/>
    <n v="159.4"/>
    <n v="161.5"/>
    <n v="163.27692307692308"/>
    <n v="174.75"/>
    <n v="79.599999999999994"/>
    <n v="164.55"/>
    <n v="163.26666666666668"/>
    <n v="162.1"/>
    <x v="15"/>
    <n v="71.98"/>
  </r>
  <r>
    <x v="1"/>
    <x v="0"/>
    <x v="5"/>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5.7076923076923"/>
    <n v="173.14999999999998"/>
    <n v="155.15"/>
    <n v="159.4"/>
    <n v="150.86666666666667"/>
    <n v="160.4"/>
    <x v="16"/>
    <n v="71.98"/>
  </r>
  <r>
    <x v="2"/>
    <x v="0"/>
    <x v="5"/>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4.14615384615385"/>
    <n v="172.85000000000002"/>
    <n v="157.65"/>
    <n v="162.55000000000001"/>
    <n v="158.23333333333332"/>
    <n v="161.30000000000001"/>
    <x v="17"/>
    <n v="71.98"/>
  </r>
  <r>
    <x v="0"/>
    <x v="0"/>
    <x v="6"/>
    <x v="6"/>
    <n v="145.1"/>
    <n v="204.5"/>
    <n v="180.4"/>
    <n v="157.1"/>
    <n v="188.7"/>
    <n v="157.69999999999999"/>
    <n v="152.80000000000001"/>
    <n v="163.6"/>
    <n v="113.9"/>
    <n v="169.7"/>
    <n v="166.2"/>
    <n v="171"/>
    <n v="161.69999999999999"/>
    <n v="189.7"/>
    <n v="166"/>
    <n v="161.1"/>
    <n v="165.3"/>
    <n v="0"/>
    <n v="162.5"/>
    <n v="160.30000000000001"/>
    <n v="170.4"/>
    <n v="157.1"/>
    <n v="160.69999999999999"/>
    <n v="167.2"/>
    <n v="160.4"/>
    <n v="162.80000000000001"/>
    <n v="164.03076923076924"/>
    <n v="175.2"/>
    <n v="80.150000000000006"/>
    <n v="165.4"/>
    <n v="164.13333333333335"/>
    <n v="163.19999999999999"/>
    <x v="18"/>
    <n v="73.540000000000006"/>
  </r>
  <r>
    <x v="1"/>
    <x v="0"/>
    <x v="6"/>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7.06153846153848"/>
    <n v="173.35"/>
    <n v="156.1"/>
    <n v="160.55000000000001"/>
    <n v="151.76666666666668"/>
    <n v="161.80000000000001"/>
    <x v="19"/>
    <n v="73.540000000000006"/>
  </r>
  <r>
    <x v="2"/>
    <x v="0"/>
    <x v="6"/>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5.15384615384616"/>
    <n v="173.25"/>
    <n v="158.65"/>
    <n v="163.55000000000001"/>
    <n v="159.1"/>
    <n v="162.5"/>
    <x v="20"/>
    <n v="73.540000000000006"/>
  </r>
  <r>
    <x v="0"/>
    <x v="0"/>
    <x v="7"/>
    <x v="7"/>
    <n v="144.9"/>
    <n v="202.3"/>
    <n v="176.5"/>
    <n v="157.5"/>
    <n v="190.9"/>
    <n v="155.69999999999999"/>
    <n v="153.9"/>
    <n v="162.80000000000001"/>
    <n v="115.2"/>
    <n v="169.8"/>
    <n v="167.6"/>
    <n v="171.9"/>
    <n v="161.80000000000001"/>
    <n v="190.2"/>
    <n v="167"/>
    <n v="162.6"/>
    <n v="166.3"/>
    <n v="0"/>
    <n v="163.1"/>
    <n v="160.9"/>
    <n v="171.1"/>
    <n v="157.69999999999999"/>
    <n v="161.1"/>
    <n v="167.5"/>
    <n v="160.30000000000001"/>
    <n v="163.30000000000001"/>
    <n v="163.90769230769232"/>
    <n v="175.64999999999998"/>
    <n v="80.45"/>
    <n v="165.7"/>
    <n v="165.3"/>
    <n v="163.6"/>
    <x v="21"/>
    <n v="69.8"/>
  </r>
  <r>
    <x v="1"/>
    <x v="0"/>
    <x v="7"/>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5.99230769230769"/>
    <n v="175.1"/>
    <n v="157.64999999999998"/>
    <n v="161.19999999999999"/>
    <n v="153.56666666666666"/>
    <n v="162.30000000000001"/>
    <x v="22"/>
    <n v="69.8"/>
  </r>
  <r>
    <x v="2"/>
    <x v="0"/>
    <x v="7"/>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4.76923076923077"/>
    <n v="174.85"/>
    <n v="159.80000000000001"/>
    <n v="164.2"/>
    <n v="161"/>
    <n v="163.19999999999999"/>
    <x v="23"/>
    <n v="69.8"/>
  </r>
  <r>
    <x v="0"/>
    <x v="0"/>
    <x v="8"/>
    <x v="8"/>
    <n v="145.4"/>
    <n v="202.1"/>
    <n v="172"/>
    <n v="158"/>
    <n v="195.5"/>
    <n v="152.69999999999999"/>
    <n v="151.4"/>
    <n v="163.9"/>
    <n v="119.3"/>
    <n v="170.1"/>
    <n v="168.3"/>
    <n v="172.8"/>
    <n v="162.1"/>
    <n v="190.5"/>
    <n v="167.7"/>
    <n v="163.6"/>
    <n v="167.1"/>
    <n v="0"/>
    <n v="163.69999999999999"/>
    <n v="161.30000000000001"/>
    <n v="171.9"/>
    <n v="157.80000000000001"/>
    <n v="162.69999999999999"/>
    <n v="168.5"/>
    <n v="160.19999999999999"/>
    <n v="163.80000000000001"/>
    <n v="164.12307692307692"/>
    <n v="176.6"/>
    <n v="80.650000000000006"/>
    <n v="166.05"/>
    <n v="166.13333333333333"/>
    <n v="164"/>
    <x v="24"/>
    <n v="73.13"/>
  </r>
  <r>
    <x v="1"/>
    <x v="0"/>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5.99230769230769"/>
    <n v="175.2"/>
    <n v="157.69999999999999"/>
    <n v="161.19999999999999"/>
    <n v="153.6"/>
    <n v="162.30000000000001"/>
    <x v="6"/>
    <n v="73.13"/>
  </r>
  <r>
    <x v="2"/>
    <x v="0"/>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4.76923076923077"/>
    <n v="174.89999999999998"/>
    <n v="159.80000000000001"/>
    <n v="164.2"/>
    <n v="161.06666666666666"/>
    <n v="163.19999999999999"/>
    <x v="6"/>
    <n v="73.13"/>
  </r>
  <r>
    <x v="0"/>
    <x v="0"/>
    <x v="9"/>
    <x v="9"/>
    <n v="146.1"/>
    <n v="202.5"/>
    <n v="170.1"/>
    <n v="158.4"/>
    <n v="198.8"/>
    <n v="152.6"/>
    <n v="170.4"/>
    <n v="165.2"/>
    <n v="121.6"/>
    <n v="170.6"/>
    <n v="168.8"/>
    <n v="173.6"/>
    <n v="165.5"/>
    <n v="191.2"/>
    <n v="168.9"/>
    <n v="164.8"/>
    <n v="168.3"/>
    <n v="0"/>
    <n v="165.5"/>
    <n v="162"/>
    <n v="172.5"/>
    <n v="159.5"/>
    <n v="163.19999999999999"/>
    <n v="169"/>
    <n v="161.1"/>
    <n v="164.7"/>
    <n v="166.47692307692307"/>
    <n v="177.2"/>
    <n v="81"/>
    <n v="166.8"/>
    <n v="167.33333333333334"/>
    <n v="166.3"/>
    <x v="25"/>
    <n v="82.11"/>
  </r>
  <r>
    <x v="1"/>
    <x v="0"/>
    <x v="9"/>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9.10769230769236"/>
    <n v="176.05"/>
    <n v="158.94999999999999"/>
    <n v="161.9"/>
    <n v="154.50000000000003"/>
    <n v="164.6"/>
    <x v="26"/>
    <n v="82.11"/>
  </r>
  <r>
    <x v="2"/>
    <x v="0"/>
    <x v="9"/>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7.34615384615384"/>
    <n v="175.64999999999998"/>
    <n v="161"/>
    <n v="164.95"/>
    <n v="162.1"/>
    <n v="165.5"/>
    <x v="27"/>
    <n v="82.11"/>
  </r>
  <r>
    <x v="0"/>
    <x v="0"/>
    <x v="10"/>
    <x v="10"/>
    <n v="146.9"/>
    <n v="199.8"/>
    <n v="171.5"/>
    <n v="159.1"/>
    <n v="198.4"/>
    <n v="153.19999999999999"/>
    <n v="183.9"/>
    <n v="165.4"/>
    <n v="122.1"/>
    <n v="170.8"/>
    <n v="169.1"/>
    <n v="174.3"/>
    <n v="167.5"/>
    <n v="191.4"/>
    <n v="170.4"/>
    <n v="166"/>
    <n v="169.8"/>
    <n v="0"/>
    <n v="165.3"/>
    <n v="162.9"/>
    <n v="173.4"/>
    <n v="158.9"/>
    <n v="163.80000000000001"/>
    <n v="169.3"/>
    <n v="162.4"/>
    <n v="165.2"/>
    <n v="167.84615384615384"/>
    <n v="177.60000000000002"/>
    <n v="81.45"/>
    <n v="167.9"/>
    <n v="168.73333333333332"/>
    <n v="167.6"/>
    <x v="28"/>
    <n v="80.64"/>
  </r>
  <r>
    <x v="1"/>
    <x v="0"/>
    <x v="10"/>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70.60769230769228"/>
    <n v="176.85"/>
    <n v="159.69999999999999"/>
    <n v="163"/>
    <n v="155.76666666666668"/>
    <n v="165.6"/>
    <x v="29"/>
    <n v="80.64"/>
  </r>
  <r>
    <x v="2"/>
    <x v="0"/>
    <x v="10"/>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8.77692307692308"/>
    <n v="176.35000000000002"/>
    <n v="161.75"/>
    <n v="166.05"/>
    <n v="163.46666666666667"/>
    <n v="166.7"/>
    <x v="30"/>
    <n v="80.64"/>
  </r>
  <r>
    <x v="0"/>
    <x v="0"/>
    <x v="11"/>
    <x v="11"/>
    <n v="147.4"/>
    <n v="197"/>
    <n v="176.5"/>
    <n v="159.80000000000001"/>
    <n v="195.8"/>
    <n v="152"/>
    <n v="172.3"/>
    <n v="164.5"/>
    <n v="120.6"/>
    <n v="171.7"/>
    <n v="169.7"/>
    <n v="175.1"/>
    <n v="165.8"/>
    <n v="190.8"/>
    <n v="171.8"/>
    <n v="167.3"/>
    <n v="171.2"/>
    <n v="0"/>
    <n v="165.6"/>
    <n v="163.9"/>
    <n v="174"/>
    <n v="160.1"/>
    <n v="164.5"/>
    <n v="169.7"/>
    <n v="162.80000000000001"/>
    <n v="166"/>
    <n v="166.78461538461536"/>
    <n v="177.65"/>
    <n v="81.95"/>
    <n v="168.4"/>
    <n v="170.1"/>
    <n v="167"/>
    <x v="31"/>
    <n v="73.3"/>
  </r>
  <r>
    <x v="1"/>
    <x v="0"/>
    <x v="11"/>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9.71538461538464"/>
    <n v="177.2"/>
    <n v="159.69999999999999"/>
    <n v="163.75"/>
    <n v="156.9"/>
    <n v="165.2"/>
    <x v="32"/>
    <n v="73.3"/>
  </r>
  <r>
    <x v="2"/>
    <x v="0"/>
    <x v="11"/>
    <x v="11"/>
    <n v="148.69999999999999"/>
    <n v="198.8"/>
    <n v="177.9"/>
    <n v="159.9"/>
    <n v="187.6"/>
    <n v="154.9"/>
    <n v="188.3"/>
    <n v="164.4"/>
    <n v="121"/>
    <n v="170.5"/>
    <n v="164.2"/>
    <n v="176.5"/>
    <n v="168.2"/>
    <n v="192.4"/>
    <n v="168.5"/>
    <n v="158.69999999999999"/>
    <n v="167"/>
    <n v="163.4"/>
    <n v="164.1"/>
    <n v="160.19999999999999"/>
    <n v="170.6"/>
    <n v="155.69999999999999"/>
    <n v="160.6"/>
    <n v="164.4"/>
    <n v="162.6"/>
    <n v="162"/>
    <n v="167.76153846153846"/>
    <n v="176.5"/>
    <n v="161.80000000000001"/>
    <n v="166.6"/>
    <n v="164.73333333333332"/>
    <n v="166.2"/>
    <x v="33"/>
    <n v="73.3"/>
  </r>
  <r>
    <x v="0"/>
    <x v="1"/>
    <x v="0"/>
    <x v="12"/>
    <n v="148.30000000000001"/>
    <n v="196.9"/>
    <n v="178"/>
    <n v="160.5"/>
    <n v="192.6"/>
    <n v="151.19999999999999"/>
    <n v="159.19999999999999"/>
    <n v="164"/>
    <n v="119.3"/>
    <n v="173.3"/>
    <n v="169.8"/>
    <n v="175.8"/>
    <n v="164.1"/>
    <n v="190.7"/>
    <n v="173.2"/>
    <n v="169.3"/>
    <n v="172.7"/>
    <n v="0"/>
    <n v="165.8"/>
    <n v="164.9"/>
    <n v="174.7"/>
    <n v="160.80000000000001"/>
    <n v="164.9"/>
    <n v="169.9"/>
    <n v="163.19999999999999"/>
    <n v="166.6"/>
    <n v="165.61538461538461"/>
    <n v="177.8"/>
    <n v="82.45"/>
    <n v="168.95"/>
    <n v="171.73333333333335"/>
    <n v="166.4"/>
    <x v="34"/>
    <n v="84.67"/>
  </r>
  <r>
    <x v="1"/>
    <x v="1"/>
    <x v="0"/>
    <x v="12"/>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8.2076923076923"/>
    <n v="177.4"/>
    <n v="160.65"/>
    <n v="164.45"/>
    <n v="158.46666666666667"/>
    <n v="165"/>
    <x v="35"/>
    <n v="84.67"/>
  </r>
  <r>
    <x v="2"/>
    <x v="1"/>
    <x v="0"/>
    <x v="12"/>
    <n v="149.5"/>
    <n v="198.7"/>
    <n v="178.8"/>
    <n v="160.5"/>
    <n v="184.7"/>
    <n v="153.69999999999999"/>
    <n v="174.3"/>
    <n v="163.9"/>
    <n v="120"/>
    <n v="172.1"/>
    <n v="164.3"/>
    <n v="177.3"/>
    <n v="166.4"/>
    <n v="192.2"/>
    <n v="169.9"/>
    <n v="160.69999999999999"/>
    <n v="168.5"/>
    <n v="164.5"/>
    <n v="164.2"/>
    <n v="161.1"/>
    <n v="171.4"/>
    <n v="156.5"/>
    <n v="161.19999999999999"/>
    <n v="164.7"/>
    <n v="163"/>
    <n v="162.69999999999999"/>
    <n v="166.47692307692307"/>
    <n v="176.7"/>
    <n v="162.80000000000001"/>
    <n v="167.2"/>
    <n v="166.36666666666667"/>
    <n v="165.7"/>
    <x v="36"/>
    <n v="84.67"/>
  </r>
  <r>
    <x v="0"/>
    <x v="1"/>
    <x v="1"/>
    <x v="13"/>
    <n v="148.80000000000001"/>
    <n v="198.1"/>
    <n v="175.5"/>
    <n v="160.69999999999999"/>
    <n v="192.6"/>
    <n v="151.4"/>
    <n v="155.19999999999999"/>
    <n v="163.9"/>
    <n v="118.1"/>
    <n v="175.4"/>
    <n v="170.5"/>
    <n v="176.3"/>
    <n v="163.9"/>
    <n v="191.5"/>
    <n v="174.1"/>
    <n v="171"/>
    <n v="173.7"/>
    <n v="0"/>
    <n v="167.4"/>
    <n v="165.7"/>
    <n v="175.3"/>
    <n v="161.19999999999999"/>
    <n v="165.5"/>
    <n v="170.3"/>
    <n v="164.5"/>
    <n v="167.3"/>
    <n v="165.41538461538462"/>
    <n v="178.5"/>
    <n v="82.85"/>
    <n v="169.9"/>
    <n v="172.93333333333331"/>
    <n v="166.7"/>
    <x v="37"/>
    <n v="94.07"/>
  </r>
  <r>
    <x v="1"/>
    <x v="1"/>
    <x v="1"/>
    <x v="13"/>
    <n v="152.5"/>
    <n v="205.2"/>
    <n v="176.4"/>
    <n v="160.6"/>
    <n v="171.5"/>
    <n v="156.4"/>
    <n v="198"/>
    <n v="163.19999999999999"/>
    <n v="120.6"/>
    <n v="172.2"/>
    <n v="156.69999999999999"/>
    <n v="180"/>
    <n v="170.2"/>
    <n v="196.5"/>
    <n v="165.7"/>
    <n v="150.4"/>
    <n v="163.4"/>
    <n v="165.5"/>
    <n v="163"/>
    <n v="157.4"/>
    <n v="167.2"/>
    <n v="153.1"/>
    <n v="159.5"/>
    <n v="162"/>
    <n v="164.2"/>
    <n v="159.4"/>
    <n v="167.96153846153845"/>
    <n v="178"/>
    <n v="161.44999999999999"/>
    <n v="165.7"/>
    <n v="159.83333333333334"/>
    <n v="165.5"/>
    <x v="38"/>
    <n v="94.07"/>
  </r>
  <r>
    <x v="2"/>
    <x v="1"/>
    <x v="1"/>
    <x v="13"/>
    <n v="150"/>
    <n v="200.6"/>
    <n v="175.8"/>
    <n v="160.69999999999999"/>
    <n v="184.9"/>
    <n v="153.69999999999999"/>
    <n v="169.7"/>
    <n v="163.69999999999999"/>
    <n v="118.9"/>
    <n v="174.3"/>
    <n v="164.7"/>
    <n v="178"/>
    <n v="166.2"/>
    <n v="192.8"/>
    <n v="170.8"/>
    <n v="162.4"/>
    <n v="169.6"/>
    <n v="165.5"/>
    <n v="165.7"/>
    <n v="161.80000000000001"/>
    <n v="172.2"/>
    <n v="156.9"/>
    <n v="162.1"/>
    <n v="165.4"/>
    <n v="164.4"/>
    <n v="163.5"/>
    <n v="166.24615384615387"/>
    <n v="177.45"/>
    <n v="163.65"/>
    <n v="168.3"/>
    <n v="167.60000000000002"/>
    <n v="166.1"/>
    <x v="39"/>
    <n v="94.07"/>
  </r>
  <r>
    <x v="0"/>
    <x v="1"/>
    <x v="2"/>
    <x v="14"/>
    <n v="150.19999999999999"/>
    <n v="208"/>
    <n v="167.9"/>
    <n v="162"/>
    <n v="203.1"/>
    <n v="155.9"/>
    <n v="155.80000000000001"/>
    <n v="164.2"/>
    <n v="118.1"/>
    <n v="178.7"/>
    <n v="171.2"/>
    <n v="177.4"/>
    <n v="166.6"/>
    <n v="192.3"/>
    <n v="175.4"/>
    <n v="173.2"/>
    <n v="175.1"/>
    <n v="0"/>
    <n v="168.9"/>
    <n v="166.5"/>
    <n v="176"/>
    <n v="162"/>
    <n v="166.6"/>
    <n v="170.6"/>
    <n v="167.4"/>
    <n v="168.3"/>
    <n v="167.62307692307695"/>
    <n v="179.45"/>
    <n v="83.25"/>
    <n v="171.7"/>
    <n v="174.56666666666669"/>
    <n v="168.7"/>
    <x v="40"/>
    <n v="112.87"/>
  </r>
  <r>
    <x v="1"/>
    <x v="1"/>
    <x v="2"/>
    <x v="14"/>
    <n v="153.69999999999999"/>
    <n v="215.8"/>
    <n v="167.7"/>
    <n v="162.6"/>
    <n v="180"/>
    <n v="159.6"/>
    <n v="188.4"/>
    <n v="163.4"/>
    <n v="120.3"/>
    <n v="174.7"/>
    <n v="157.1"/>
    <n v="181.5"/>
    <n v="171.5"/>
    <n v="197.5"/>
    <n v="167.1"/>
    <n v="152.6"/>
    <n v="164.9"/>
    <n v="165.3"/>
    <n v="164.5"/>
    <n v="158.6"/>
    <n v="168.2"/>
    <n v="154.19999999999999"/>
    <n v="160.80000000000001"/>
    <n v="162.69999999999999"/>
    <n v="166.8"/>
    <n v="160.6"/>
    <n v="168.94615384615386"/>
    <n v="179.15"/>
    <n v="161.94999999999999"/>
    <n v="167.5"/>
    <n v="161.53333333333333"/>
    <n v="166.5"/>
    <x v="41"/>
    <n v="112.87"/>
  </r>
  <r>
    <x v="2"/>
    <x v="1"/>
    <x v="2"/>
    <x v="14"/>
    <n v="151.30000000000001"/>
    <n v="210.7"/>
    <n v="167.8"/>
    <n v="162.19999999999999"/>
    <n v="194.6"/>
    <n v="157.6"/>
    <n v="166.9"/>
    <n v="163.9"/>
    <n v="118.8"/>
    <n v="177.4"/>
    <n v="165.3"/>
    <n v="179.3"/>
    <n v="168.4"/>
    <n v="193.7"/>
    <n v="172.1"/>
    <n v="164.6"/>
    <n v="171.1"/>
    <n v="165.3"/>
    <n v="167.2"/>
    <n v="162.80000000000001"/>
    <n v="173"/>
    <n v="157.9"/>
    <n v="163.30000000000001"/>
    <n v="166"/>
    <n v="167.2"/>
    <n v="164.6"/>
    <n v="168.01538461538465"/>
    <n v="178.5"/>
    <n v="164.05"/>
    <n v="170.1"/>
    <n v="169.26666666666665"/>
    <n v="167.7"/>
    <x v="42"/>
    <n v="112.87"/>
  </r>
  <r>
    <x v="0"/>
    <x v="1"/>
    <x v="3"/>
    <x v="15"/>
    <n v="151.80000000000001"/>
    <n v="209.7"/>
    <n v="164.5"/>
    <n v="163.80000000000001"/>
    <n v="207.4"/>
    <n v="169.7"/>
    <n v="153.6"/>
    <n v="165.1"/>
    <n v="118.2"/>
    <n v="182.9"/>
    <n v="172.4"/>
    <n v="178.9"/>
    <n v="168.6"/>
    <n v="192.8"/>
    <n v="177.5"/>
    <n v="175.1"/>
    <n v="177.1"/>
    <n v="0"/>
    <n v="173.3"/>
    <n v="167.7"/>
    <n v="177"/>
    <n v="166.2"/>
    <n v="167.2"/>
    <n v="170.9"/>
    <n v="169"/>
    <n v="170.2"/>
    <n v="169.73846153846154"/>
    <n v="180"/>
    <n v="83.85"/>
    <n v="173"/>
    <n v="176.56666666666669"/>
    <n v="170.8"/>
    <x v="43"/>
    <n v="102.97"/>
  </r>
  <r>
    <x v="1"/>
    <x v="1"/>
    <x v="3"/>
    <x v="15"/>
    <n v="155.4"/>
    <n v="215.8"/>
    <n v="164.6"/>
    <n v="164.2"/>
    <n v="186"/>
    <n v="175.9"/>
    <n v="190.7"/>
    <n v="164"/>
    <n v="120.5"/>
    <n v="178"/>
    <n v="157.5"/>
    <n v="183.3"/>
    <n v="174.5"/>
    <n v="197.1"/>
    <n v="168.4"/>
    <n v="154.5"/>
    <n v="166.3"/>
    <n v="167"/>
    <n v="170.5"/>
    <n v="159.80000000000001"/>
    <n v="169"/>
    <n v="159.30000000000001"/>
    <n v="162.19999999999999"/>
    <n v="164"/>
    <n v="168.4"/>
    <n v="163.1"/>
    <n v="171.56923076923078"/>
    <n v="179.64999999999998"/>
    <n v="163.4"/>
    <n v="168.7"/>
    <n v="163.06666666666666"/>
    <n v="169.2"/>
    <x v="44"/>
    <n v="102.97"/>
  </r>
  <r>
    <x v="2"/>
    <x v="1"/>
    <x v="3"/>
    <x v="15"/>
    <n v="152.9"/>
    <n v="211.8"/>
    <n v="164.5"/>
    <n v="163.9"/>
    <n v="199.5"/>
    <n v="172.6"/>
    <n v="166.2"/>
    <n v="164.7"/>
    <n v="119"/>
    <n v="181.3"/>
    <n v="166.2"/>
    <n v="180.9"/>
    <n v="170.8"/>
    <n v="193.9"/>
    <n v="173.9"/>
    <n v="166.5"/>
    <n v="172.8"/>
    <n v="167"/>
    <n v="172.2"/>
    <n v="164"/>
    <n v="174"/>
    <n v="162.6"/>
    <n v="164.4"/>
    <n v="166.9"/>
    <n v="168.8"/>
    <n v="166.8"/>
    <n v="170.33076923076925"/>
    <n v="179.15"/>
    <n v="165.5"/>
    <n v="171.4"/>
    <n v="171.06666666666669"/>
    <n v="170.1"/>
    <x v="45"/>
    <n v="102.97"/>
  </r>
  <r>
    <x v="0"/>
    <x v="1"/>
    <x v="4"/>
    <x v="16"/>
    <n v="152.9"/>
    <n v="214.7"/>
    <n v="161.4"/>
    <n v="164.6"/>
    <n v="209.9"/>
    <n v="168"/>
    <n v="160.4"/>
    <n v="165"/>
    <n v="118.9"/>
    <n v="186.6"/>
    <n v="173.2"/>
    <n v="180.4"/>
    <n v="170.8"/>
    <n v="192.9"/>
    <n v="179.3"/>
    <n v="177.2"/>
    <n v="179"/>
    <n v="0"/>
    <n v="175.3"/>
    <n v="168.9"/>
    <n v="177.7"/>
    <n v="167.1"/>
    <n v="167.6"/>
    <n v="171.8"/>
    <n v="168.5"/>
    <n v="170.9"/>
    <n v="171.2923076923077"/>
    <n v="180.25"/>
    <n v="84.45"/>
    <n v="173.1"/>
    <n v="178.5"/>
    <n v="172.5"/>
    <x v="46"/>
    <n v="109.51"/>
  </r>
  <r>
    <x v="1"/>
    <x v="1"/>
    <x v="4"/>
    <x v="16"/>
    <n v="156.69999999999999"/>
    <n v="221.2"/>
    <n v="164.1"/>
    <n v="165.4"/>
    <n v="189.5"/>
    <n v="174.5"/>
    <n v="203.2"/>
    <n v="164.1"/>
    <n v="121.2"/>
    <n v="181.4"/>
    <n v="158.5"/>
    <n v="184.9"/>
    <n v="177.5"/>
    <n v="197.5"/>
    <n v="170"/>
    <n v="155.9"/>
    <n v="167.8"/>
    <n v="167.5"/>
    <n v="173.5"/>
    <n v="161.1"/>
    <n v="170.1"/>
    <n v="159.4"/>
    <n v="163.19999999999999"/>
    <n v="165.2"/>
    <n v="168.2"/>
    <n v="163.80000000000001"/>
    <n v="174.01538461538465"/>
    <n v="180.35"/>
    <n v="164.3"/>
    <n v="169.14999999999998"/>
    <n v="164.56666666666666"/>
    <n v="170.8"/>
    <x v="47"/>
    <n v="109.51"/>
  </r>
  <r>
    <x v="2"/>
    <x v="1"/>
    <x v="4"/>
    <x v="16"/>
    <n v="154.1"/>
    <n v="217"/>
    <n v="162.4"/>
    <n v="164.9"/>
    <n v="202.4"/>
    <n v="171"/>
    <n v="174.9"/>
    <n v="164.7"/>
    <n v="119.7"/>
    <n v="184.9"/>
    <n v="167.1"/>
    <n v="182.5"/>
    <n v="173.3"/>
    <n v="194.1"/>
    <n v="175.6"/>
    <n v="168.4"/>
    <n v="174.6"/>
    <n v="167.5"/>
    <n v="174.6"/>
    <n v="165.2"/>
    <n v="174.8"/>
    <n v="163"/>
    <n v="165.1"/>
    <n v="167.9"/>
    <n v="168.4"/>
    <n v="167.5"/>
    <n v="172.22307692307697"/>
    <n v="179.6"/>
    <n v="166.35"/>
    <n v="171.60000000000002"/>
    <n v="172.86666666666667"/>
    <n v="171.7"/>
    <x v="48"/>
    <n v="109.51"/>
  </r>
  <r>
    <x v="0"/>
    <x v="1"/>
    <x v="5"/>
    <x v="17"/>
    <n v="153.80000000000001"/>
    <n v="217.2"/>
    <n v="169.6"/>
    <n v="165.4"/>
    <n v="208.1"/>
    <n v="165.8"/>
    <n v="167.3"/>
    <n v="164.6"/>
    <n v="119.1"/>
    <n v="188.9"/>
    <n v="174.2"/>
    <n v="181.9"/>
    <n v="172.4"/>
    <n v="192.9"/>
    <n v="180.7"/>
    <n v="178.7"/>
    <n v="180.4"/>
    <n v="0"/>
    <n v="176.7"/>
    <n v="170.3"/>
    <n v="178.2"/>
    <n v="165.5"/>
    <n v="168"/>
    <n v="172.6"/>
    <n v="169.5"/>
    <n v="171"/>
    <n v="172.94615384615386"/>
    <n v="180.45"/>
    <n v="85.15"/>
    <n v="173.85"/>
    <n v="179.93333333333331"/>
    <n v="173.6"/>
    <x v="49"/>
    <n v="116.01"/>
  </r>
  <r>
    <x v="1"/>
    <x v="1"/>
    <x v="5"/>
    <x v="17"/>
    <n v="157.5"/>
    <n v="223.4"/>
    <n v="172.8"/>
    <n v="166.4"/>
    <n v="188.6"/>
    <n v="174.1"/>
    <n v="211.5"/>
    <n v="163.6"/>
    <n v="121.4"/>
    <n v="183.5"/>
    <n v="159.1"/>
    <n v="186.3"/>
    <n v="179.3"/>
    <n v="198.3"/>
    <n v="171.6"/>
    <n v="157.4"/>
    <n v="169.4"/>
    <n v="166.8"/>
    <n v="174.9"/>
    <n v="162.1"/>
    <n v="170.9"/>
    <n v="157.19999999999999"/>
    <n v="164.1"/>
    <n v="166.5"/>
    <n v="169.2"/>
    <n v="163.80000000000001"/>
    <n v="175.96153846153845"/>
    <n v="181.2"/>
    <n v="164.45"/>
    <n v="170.05"/>
    <n v="166.13333333333333"/>
    <n v="171.4"/>
    <x v="50"/>
    <n v="116.01"/>
  </r>
  <r>
    <x v="2"/>
    <x v="1"/>
    <x v="5"/>
    <x v="17"/>
    <n v="155"/>
    <n v="219.4"/>
    <n v="170.8"/>
    <n v="165.8"/>
    <n v="200.9"/>
    <n v="169.7"/>
    <n v="182.3"/>
    <n v="164.3"/>
    <n v="119.9"/>
    <n v="187.1"/>
    <n v="167.9"/>
    <n v="183.9"/>
    <n v="174.9"/>
    <n v="194.3"/>
    <n v="177.1"/>
    <n v="169.9"/>
    <n v="176"/>
    <n v="166.8"/>
    <n v="176"/>
    <n v="166.4"/>
    <n v="175.4"/>
    <n v="161.1"/>
    <n v="165.8"/>
    <n v="169"/>
    <n v="169.4"/>
    <n v="167.5"/>
    <n v="173.99230769230769"/>
    <n v="180.05"/>
    <n v="166.60000000000002"/>
    <n v="172.4"/>
    <n v="174.33333333333334"/>
    <n v="172.6"/>
    <x v="51"/>
    <n v="116.01"/>
  </r>
  <r>
    <x v="0"/>
    <x v="1"/>
    <x v="6"/>
    <x v="18"/>
    <n v="155.19999999999999"/>
    <n v="210.8"/>
    <n v="174.3"/>
    <n v="166.3"/>
    <n v="202.2"/>
    <n v="169.6"/>
    <n v="168.6"/>
    <n v="164.4"/>
    <n v="119.2"/>
    <n v="191.8"/>
    <n v="174.5"/>
    <n v="183.1"/>
    <n v="172.5"/>
    <n v="193.2"/>
    <n v="182"/>
    <n v="180.3"/>
    <n v="181.7"/>
    <n v="0"/>
    <n v="179.6"/>
    <n v="171.3"/>
    <n v="178.8"/>
    <n v="166.3"/>
    <n v="168.6"/>
    <n v="174.7"/>
    <n v="169.7"/>
    <n v="171.8"/>
    <n v="173.26923076923077"/>
    <n v="180.89999999999998"/>
    <n v="85.65"/>
    <n v="174.25"/>
    <n v="181.33333333333334"/>
    <n v="174.3"/>
    <x v="52"/>
    <n v="105.49"/>
  </r>
  <r>
    <x v="1"/>
    <x v="1"/>
    <x v="6"/>
    <x v="18"/>
    <n v="159.30000000000001"/>
    <n v="217.1"/>
    <n v="176.6"/>
    <n v="167.1"/>
    <n v="184.8"/>
    <n v="179.5"/>
    <n v="208.5"/>
    <n v="164"/>
    <n v="121.5"/>
    <n v="186.3"/>
    <n v="159.80000000000001"/>
    <n v="187.7"/>
    <n v="179.4"/>
    <n v="198.6"/>
    <n v="172.7"/>
    <n v="158.69999999999999"/>
    <n v="170.6"/>
    <n v="167.8"/>
    <n v="179.5"/>
    <n v="163.1"/>
    <n v="171.7"/>
    <n v="157.4"/>
    <n v="164.6"/>
    <n v="169.1"/>
    <n v="169.8"/>
    <n v="164.7"/>
    <n v="176.27692307692308"/>
    <n v="181.6"/>
    <n v="165.45"/>
    <n v="170.75"/>
    <n v="167.33333333333334"/>
    <n v="172.3"/>
    <x v="53"/>
    <n v="105.49"/>
  </r>
  <r>
    <x v="2"/>
    <x v="1"/>
    <x v="6"/>
    <x v="18"/>
    <n v="156.5"/>
    <n v="213"/>
    <n v="175.2"/>
    <n v="166.6"/>
    <n v="195.8"/>
    <n v="174.2"/>
    <n v="182.1"/>
    <n v="164.3"/>
    <n v="120"/>
    <n v="190"/>
    <n v="168.4"/>
    <n v="185.2"/>
    <n v="175"/>
    <n v="194.6"/>
    <n v="178.3"/>
    <n v="171.3"/>
    <n v="177.3"/>
    <n v="167.8"/>
    <n v="179.6"/>
    <n v="167.4"/>
    <n v="176.1"/>
    <n v="161.6"/>
    <n v="166.3"/>
    <n v="171.4"/>
    <n v="169.7"/>
    <n v="168.4"/>
    <n v="174.33076923076925"/>
    <n v="180.45"/>
    <n v="167.60000000000002"/>
    <n v="172.89999999999998"/>
    <n v="175.63333333333335"/>
    <n v="173.4"/>
    <x v="54"/>
    <n v="105.49"/>
  </r>
  <r>
    <x v="0"/>
    <x v="1"/>
    <x v="7"/>
    <x v="19"/>
    <n v="159.5"/>
    <n v="204.1"/>
    <n v="168.3"/>
    <n v="167.9"/>
    <n v="198.1"/>
    <n v="169.2"/>
    <n v="173.1"/>
    <n v="167.1"/>
    <n v="120.2"/>
    <n v="195.6"/>
    <n v="174.8"/>
    <n v="184"/>
    <n v="173.9"/>
    <n v="193.7"/>
    <n v="183.2"/>
    <n v="181.7"/>
    <n v="183"/>
    <n v="0"/>
    <n v="179.1"/>
    <n v="172.3"/>
    <n v="179.4"/>
    <n v="166.6"/>
    <n v="169.3"/>
    <n v="175.7"/>
    <n v="171.1"/>
    <n v="172.6"/>
    <n v="173.5230769230769"/>
    <n v="181.5"/>
    <n v="86.15"/>
    <n v="175.25"/>
    <n v="182.63333333333333"/>
    <n v="175.3"/>
    <x v="55"/>
    <n v="97.4"/>
  </r>
  <r>
    <x v="1"/>
    <x v="1"/>
    <x v="7"/>
    <x v="19"/>
    <n v="162.1"/>
    <n v="210.9"/>
    <n v="170.6"/>
    <n v="168.4"/>
    <n v="182.5"/>
    <n v="177.1"/>
    <n v="213.1"/>
    <n v="167.3"/>
    <n v="122.2"/>
    <n v="189.7"/>
    <n v="160.5"/>
    <n v="188.9"/>
    <n v="180.4"/>
    <n v="198.7"/>
    <n v="173.7"/>
    <n v="160"/>
    <n v="171.6"/>
    <n v="169"/>
    <n v="178.4"/>
    <n v="164.2"/>
    <n v="172.6"/>
    <n v="157.69999999999999"/>
    <n v="165.1"/>
    <n v="169.9"/>
    <n v="171.4"/>
    <n v="165.4"/>
    <n v="176.43846153846152"/>
    <n v="181.89999999999998"/>
    <n v="166.6"/>
    <n v="172"/>
    <n v="168.43333333333331"/>
    <n v="173.1"/>
    <x v="56"/>
    <n v="97.4"/>
  </r>
  <r>
    <x v="2"/>
    <x v="1"/>
    <x v="7"/>
    <x v="19"/>
    <n v="160.30000000000001"/>
    <n v="206.5"/>
    <n v="169.2"/>
    <n v="168.1"/>
    <n v="192.4"/>
    <n v="172.9"/>
    <n v="186.7"/>
    <n v="167.2"/>
    <n v="120.9"/>
    <n v="193.6"/>
    <n v="168.8"/>
    <n v="186.3"/>
    <n v="176.3"/>
    <n v="195"/>
    <n v="179.5"/>
    <n v="172.7"/>
    <n v="178.5"/>
    <n v="169"/>
    <n v="178.8"/>
    <n v="168.5"/>
    <n v="176.8"/>
    <n v="161.9"/>
    <n v="166.9"/>
    <n v="172.3"/>
    <n v="171.2"/>
    <n v="169.1"/>
    <n v="174.55384615384617"/>
    <n v="180.95"/>
    <n v="168.75"/>
    <n v="174"/>
    <n v="176.9"/>
    <n v="174.3"/>
    <x v="57"/>
    <n v="97.4"/>
  </r>
  <r>
    <x v="0"/>
    <x v="1"/>
    <x v="8"/>
    <x v="20"/>
    <n v="162.9"/>
    <n v="206.7"/>
    <n v="169"/>
    <n v="169.5"/>
    <n v="194.1"/>
    <n v="164.1"/>
    <n v="176.9"/>
    <n v="169"/>
    <n v="120.8"/>
    <n v="199.1"/>
    <n v="175.4"/>
    <n v="184.8"/>
    <n v="175.5"/>
    <n v="194.5"/>
    <n v="184.7"/>
    <n v="183.3"/>
    <n v="184.5"/>
    <n v="0"/>
    <n v="179.7"/>
    <n v="173.6"/>
    <n v="180.2"/>
    <n v="166.9"/>
    <n v="170"/>
    <n v="176.2"/>
    <n v="170.8"/>
    <n v="173.1"/>
    <n v="174.44615384615386"/>
    <n v="182.25"/>
    <n v="86.8"/>
    <n v="175.5"/>
    <n v="184.16666666666666"/>
    <n v="176.4"/>
    <x v="58"/>
    <n v="90.71"/>
  </r>
  <r>
    <x v="1"/>
    <x v="1"/>
    <x v="8"/>
    <x v="20"/>
    <n v="164.9"/>
    <n v="213.7"/>
    <n v="170.9"/>
    <n v="170.1"/>
    <n v="179.3"/>
    <n v="167.5"/>
    <n v="220.8"/>
    <n v="169.2"/>
    <n v="123.1"/>
    <n v="193.6"/>
    <n v="161.1"/>
    <n v="190.4"/>
    <n v="181.8"/>
    <n v="199.7"/>
    <n v="175"/>
    <n v="161.69999999999999"/>
    <n v="173"/>
    <n v="169.5"/>
    <n v="179.2"/>
    <n v="165"/>
    <n v="173.8"/>
    <n v="158.19999999999999"/>
    <n v="165.8"/>
    <n v="170.9"/>
    <n v="171.1"/>
    <n v="166.1"/>
    <n v="177.41538461538462"/>
    <n v="182.75"/>
    <n v="167.25"/>
    <n v="172.45"/>
    <n v="169.9"/>
    <n v="174.1"/>
    <x v="59"/>
    <n v="90.71"/>
  </r>
  <r>
    <x v="2"/>
    <x v="1"/>
    <x v="8"/>
    <x v="20"/>
    <n v="163.5"/>
    <n v="209.2"/>
    <n v="169.7"/>
    <n v="169.7"/>
    <n v="188.7"/>
    <n v="165.7"/>
    <n v="191.8"/>
    <n v="169.1"/>
    <n v="121.6"/>
    <n v="197.3"/>
    <n v="169.4"/>
    <n v="187.4"/>
    <n v="177.8"/>
    <n v="195.9"/>
    <n v="180.9"/>
    <n v="174.3"/>
    <n v="179.9"/>
    <n v="169.5"/>
    <n v="179.5"/>
    <n v="169.5"/>
    <n v="177.8"/>
    <n v="162.30000000000001"/>
    <n v="167.6"/>
    <n v="173.1"/>
    <n v="170.9"/>
    <n v="169.7"/>
    <n v="175.45384615384617"/>
    <n v="181.75"/>
    <n v="169.5"/>
    <n v="174.35000000000002"/>
    <n v="178.36666666666667"/>
    <n v="175.3"/>
    <x v="55"/>
    <n v="90.71"/>
  </r>
  <r>
    <x v="0"/>
    <x v="1"/>
    <x v="9"/>
    <x v="21"/>
    <n v="164.7"/>
    <n v="208.8"/>
    <n v="170.3"/>
    <n v="170.9"/>
    <n v="191.6"/>
    <n v="162.19999999999999"/>
    <n v="184.8"/>
    <n v="169.7"/>
    <n v="121.1"/>
    <n v="201.6"/>
    <n v="175.8"/>
    <n v="185.6"/>
    <n v="177.4"/>
    <n v="194.9"/>
    <n v="186.1"/>
    <n v="184.4"/>
    <n v="185.9"/>
    <n v="0"/>
    <n v="180.8"/>
    <n v="174.4"/>
    <n v="181.2"/>
    <n v="167.4"/>
    <n v="170.6"/>
    <n v="176.5"/>
    <n v="172"/>
    <n v="173.9"/>
    <n v="175.73076923076923"/>
    <n v="182.75"/>
    <n v="87.2"/>
    <n v="176.6"/>
    <n v="185.46666666666667"/>
    <n v="177.9"/>
    <x v="60"/>
    <n v="91.7"/>
  </r>
  <r>
    <x v="1"/>
    <x v="1"/>
    <x v="9"/>
    <x v="21"/>
    <n v="166.4"/>
    <n v="214.9"/>
    <n v="171.9"/>
    <n v="171"/>
    <n v="177.7"/>
    <n v="165.7"/>
    <n v="228.6"/>
    <n v="169.9"/>
    <n v="123.4"/>
    <n v="196.4"/>
    <n v="161.6"/>
    <n v="191.5"/>
    <n v="183.3"/>
    <n v="200.1"/>
    <n v="175.5"/>
    <n v="162.6"/>
    <n v="173.6"/>
    <n v="171.2"/>
    <n v="180"/>
    <n v="166"/>
    <n v="174.7"/>
    <n v="158.80000000000001"/>
    <n v="166.3"/>
    <n v="171.2"/>
    <n v="172.3"/>
    <n v="166.8"/>
    <n v="178.63846153846154"/>
    <n v="183.2"/>
    <n v="168.6"/>
    <n v="173.5"/>
    <n v="170.56666666666669"/>
    <n v="175.3"/>
    <x v="61"/>
    <n v="91.7"/>
  </r>
  <r>
    <x v="2"/>
    <x v="1"/>
    <x v="9"/>
    <x v="21"/>
    <n v="165.2"/>
    <n v="210.9"/>
    <n v="170.9"/>
    <n v="170.9"/>
    <n v="186.5"/>
    <n v="163.80000000000001"/>
    <n v="199.7"/>
    <n v="169.8"/>
    <n v="121.9"/>
    <n v="199.9"/>
    <n v="169.9"/>
    <n v="188.3"/>
    <n v="179.6"/>
    <n v="196.3"/>
    <n v="181.9"/>
    <n v="175.3"/>
    <n v="181"/>
    <n v="171.2"/>
    <n v="180.5"/>
    <n v="170.4"/>
    <n v="178.7"/>
    <n v="162.9"/>
    <n v="168.2"/>
    <n v="173.4"/>
    <n v="172.1"/>
    <n v="170.5"/>
    <n v="176.71538461538464"/>
    <n v="182.25"/>
    <n v="170.8"/>
    <n v="175.39999999999998"/>
    <n v="179.4"/>
    <n v="176.7"/>
    <x v="62"/>
    <n v="91.7"/>
  </r>
  <r>
    <x v="0"/>
    <x v="1"/>
    <x v="10"/>
    <x v="22"/>
    <n v="166.9"/>
    <n v="207.2"/>
    <n v="180.2"/>
    <n v="172.3"/>
    <n v="194"/>
    <n v="159.1"/>
    <n v="171.6"/>
    <n v="170.2"/>
    <n v="121.5"/>
    <n v="204.8"/>
    <n v="176.4"/>
    <n v="186.9"/>
    <n v="176.6"/>
    <n v="195.5"/>
    <n v="187.2"/>
    <n v="185.2"/>
    <n v="186.9"/>
    <n v="0"/>
    <n v="181.9"/>
    <n v="175.5"/>
    <n v="182.3"/>
    <n v="167.5"/>
    <n v="170.8"/>
    <n v="176.9"/>
    <n v="173.4"/>
    <n v="174.6"/>
    <n v="175.97692307692307"/>
    <n v="183.15"/>
    <n v="87.75"/>
    <n v="177.85000000000002"/>
    <n v="186.43333333333331"/>
    <n v="177.8"/>
    <x v="63"/>
    <n v="87.55"/>
  </r>
  <r>
    <x v="1"/>
    <x v="1"/>
    <x v="10"/>
    <x v="22"/>
    <n v="168.4"/>
    <n v="213.4"/>
    <n v="183.2"/>
    <n v="172.3"/>
    <n v="180"/>
    <n v="162.6"/>
    <n v="205.5"/>
    <n v="171"/>
    <n v="123.4"/>
    <n v="198.8"/>
    <n v="162.1"/>
    <n v="192.4"/>
    <n v="181.3"/>
    <n v="200.6"/>
    <n v="176.7"/>
    <n v="163.5"/>
    <n v="174.7"/>
    <n v="171.8"/>
    <n v="180.3"/>
    <n v="166.9"/>
    <n v="175.8"/>
    <n v="158.9"/>
    <n v="166.7"/>
    <n v="171.5"/>
    <n v="173.8"/>
    <n v="167.4"/>
    <n v="178.03076923076924"/>
    <n v="183.64999999999998"/>
    <n v="169.35000000000002"/>
    <n v="174.8"/>
    <n v="171.63333333333333"/>
    <n v="174.1"/>
    <x v="64"/>
    <n v="87.55"/>
  </r>
  <r>
    <x v="2"/>
    <x v="1"/>
    <x v="10"/>
    <x v="22"/>
    <n v="167.4"/>
    <n v="209.4"/>
    <n v="181.4"/>
    <n v="172.3"/>
    <n v="188.9"/>
    <n v="160.69999999999999"/>
    <n v="183.1"/>
    <n v="170.5"/>
    <n v="122.1"/>
    <n v="202.8"/>
    <n v="170.4"/>
    <n v="189.5"/>
    <n v="178.3"/>
    <n v="196.9"/>
    <n v="183.1"/>
    <n v="176.2"/>
    <n v="182.1"/>
    <n v="171.8"/>
    <n v="181.3"/>
    <n v="171.4"/>
    <n v="179.8"/>
    <n v="163"/>
    <n v="168.5"/>
    <n v="173.7"/>
    <n v="173.6"/>
    <n v="171.1"/>
    <n v="176.67692307692309"/>
    <n v="182.7"/>
    <n v="171.60000000000002"/>
    <n v="176.7"/>
    <n v="180.46666666666667"/>
    <n v="176.5"/>
    <x v="65"/>
    <n v="87.55"/>
  </r>
  <r>
    <x v="0"/>
    <x v="1"/>
    <x v="11"/>
    <x v="23"/>
    <n v="168.8"/>
    <n v="206.9"/>
    <n v="189.1"/>
    <n v="173.4"/>
    <n v="193.9"/>
    <n v="156.69999999999999"/>
    <n v="150.19999999999999"/>
    <n v="170.5"/>
    <n v="121.2"/>
    <n v="207.5"/>
    <n v="176.8"/>
    <n v="187.7"/>
    <n v="174.4"/>
    <n v="195.9"/>
    <n v="188.1"/>
    <n v="185.9"/>
    <n v="187.8"/>
    <n v="0"/>
    <n v="182.8"/>
    <n v="176.4"/>
    <n v="183.5"/>
    <n v="167.8"/>
    <n v="171.2"/>
    <n v="177.3"/>
    <n v="175.7"/>
    <n v="175.5"/>
    <n v="175.16153846153844"/>
    <n v="183.55"/>
    <n v="88.2"/>
    <n v="179.6"/>
    <n v="187.26666666666665"/>
    <n v="177.1"/>
    <x v="66"/>
    <n v="78.099999999999994"/>
  </r>
  <r>
    <x v="1"/>
    <x v="1"/>
    <x v="11"/>
    <x v="23"/>
    <n v="170.2"/>
    <n v="212.9"/>
    <n v="191.9"/>
    <n v="173.9"/>
    <n v="179.1"/>
    <n v="159.5"/>
    <n v="178.7"/>
    <n v="171.3"/>
    <n v="123.1"/>
    <n v="200.5"/>
    <n v="162.80000000000001"/>
    <n v="193.3"/>
    <n v="178.6"/>
    <n v="201.1"/>
    <n v="177.7"/>
    <n v="164.5"/>
    <n v="175.7"/>
    <n v="170.7"/>
    <n v="180.6"/>
    <n v="167.3"/>
    <n v="177.2"/>
    <n v="159.4"/>
    <n v="167.1"/>
    <n v="171.8"/>
    <n v="176"/>
    <n v="168.2"/>
    <n v="176.59999999999997"/>
    <n v="184.1"/>
    <n v="169"/>
    <n v="176.6"/>
    <n v="172.63333333333333"/>
    <n v="174.1"/>
    <x v="6"/>
    <n v="78.099999999999994"/>
  </r>
  <r>
    <x v="2"/>
    <x v="1"/>
    <x v="11"/>
    <x v="23"/>
    <n v="169.2"/>
    <n v="209"/>
    <n v="190.2"/>
    <n v="173.6"/>
    <n v="188.5"/>
    <n v="158"/>
    <n v="159.9"/>
    <n v="170.8"/>
    <n v="121.8"/>
    <n v="205.2"/>
    <n v="171"/>
    <n v="190.3"/>
    <n v="175.9"/>
    <n v="197.3"/>
    <n v="184"/>
    <n v="177"/>
    <n v="183"/>
    <n v="170.7"/>
    <n v="182"/>
    <n v="172.1"/>
    <n v="181.1"/>
    <n v="163.4"/>
    <n v="168.9"/>
    <n v="174.1"/>
    <n v="175.8"/>
    <n v="172"/>
    <n v="175.64615384615385"/>
    <n v="183.10000000000002"/>
    <n v="171.39999999999998"/>
    <n v="178.45"/>
    <n v="181.33333333333334"/>
    <n v="175.7"/>
    <x v="67"/>
    <n v="78.099999999999994"/>
  </r>
  <r>
    <x v="0"/>
    <x v="2"/>
    <x v="0"/>
    <x v="24"/>
    <n v="174"/>
    <n v="208.3"/>
    <n v="192.9"/>
    <n v="174.3"/>
    <n v="192.6"/>
    <n v="156.30000000000001"/>
    <n v="142.9"/>
    <n v="170.7"/>
    <n v="120.3"/>
    <n v="210.5"/>
    <n v="176.9"/>
    <n v="188.5"/>
    <n v="175"/>
    <n v="196.9"/>
    <n v="189"/>
    <n v="186.3"/>
    <n v="188.6"/>
    <n v="0"/>
    <n v="183.2"/>
    <n v="177.2"/>
    <n v="184.7"/>
    <n v="168.2"/>
    <n v="171.8"/>
    <n v="177.8"/>
    <n v="178.4"/>
    <n v="176.5"/>
    <n v="175.63076923076926"/>
    <n v="184.35000000000002"/>
    <n v="88.6"/>
    <n v="181.55"/>
    <n v="187.96666666666667"/>
    <n v="177.8"/>
    <x v="68"/>
    <n v="80.92"/>
  </r>
  <r>
    <x v="1"/>
    <x v="2"/>
    <x v="0"/>
    <x v="24"/>
    <n v="173.3"/>
    <n v="215.2"/>
    <n v="197"/>
    <n v="175.2"/>
    <n v="178"/>
    <n v="160.5"/>
    <n v="175.3"/>
    <n v="171.2"/>
    <n v="122.7"/>
    <n v="204.3"/>
    <n v="163.69999999999999"/>
    <n v="194.3"/>
    <n v="179.5"/>
    <n v="201.6"/>
    <n v="178.7"/>
    <n v="165.3"/>
    <n v="176.6"/>
    <n v="172.1"/>
    <n v="180.1"/>
    <n v="168"/>
    <n v="178.5"/>
    <n v="159.5"/>
    <n v="167.8"/>
    <n v="171.8"/>
    <n v="178.8"/>
    <n v="168.9"/>
    <n v="177.70769230769233"/>
    <n v="184.7"/>
    <n v="170.05"/>
    <n v="178.65"/>
    <n v="173.53333333333333"/>
    <n v="174.9"/>
    <x v="69"/>
    <n v="80.92"/>
  </r>
  <r>
    <x v="2"/>
    <x v="2"/>
    <x v="0"/>
    <x v="24"/>
    <n v="173.8"/>
    <n v="210.7"/>
    <n v="194.5"/>
    <n v="174.6"/>
    <n v="187.2"/>
    <n v="158.30000000000001"/>
    <n v="153.9"/>
    <n v="170.9"/>
    <n v="121.1"/>
    <n v="208.4"/>
    <n v="171.4"/>
    <n v="191.2"/>
    <n v="176.7"/>
    <n v="198.2"/>
    <n v="184.9"/>
    <n v="177.6"/>
    <n v="183.8"/>
    <n v="172.1"/>
    <n v="182"/>
    <n v="172.9"/>
    <n v="182.3"/>
    <n v="163.6"/>
    <n v="169.5"/>
    <n v="174.3"/>
    <n v="178.6"/>
    <n v="172.8"/>
    <n v="176.36153846153846"/>
    <n v="183.85"/>
    <n v="172.5"/>
    <n v="180.45"/>
    <n v="182.1"/>
    <n v="176.5"/>
    <x v="70"/>
    <n v="80.92"/>
  </r>
  <r>
    <x v="0"/>
    <x v="2"/>
    <x v="1"/>
    <x v="25"/>
    <n v="174.2"/>
    <n v="205.2"/>
    <n v="173.9"/>
    <n v="177"/>
    <n v="183.4"/>
    <n v="167.2"/>
    <n v="140.9"/>
    <n v="170.4"/>
    <n v="119.1"/>
    <n v="212.1"/>
    <n v="177.6"/>
    <n v="189.9"/>
    <n v="174.8"/>
    <n v="198.3"/>
    <n v="190"/>
    <n v="187"/>
    <n v="189.6"/>
    <n v="0"/>
    <n v="181.6"/>
    <n v="178.6"/>
    <n v="186.6"/>
    <n v="169"/>
    <n v="172.8"/>
    <n v="178.5"/>
    <n v="180.7"/>
    <n v="177.9"/>
    <n v="174.28461538461536"/>
    <n v="185.55"/>
    <n v="89.3"/>
    <n v="183.64999999999998"/>
    <n v="188.86666666666667"/>
    <n v="178"/>
    <x v="71"/>
    <n v="82.28"/>
  </r>
  <r>
    <x v="1"/>
    <x v="2"/>
    <x v="1"/>
    <x v="25"/>
    <n v="174.7"/>
    <n v="212.2"/>
    <n v="177.2"/>
    <n v="177.9"/>
    <n v="172.2"/>
    <n v="172.1"/>
    <n v="175.8"/>
    <n v="172.2"/>
    <n v="121.9"/>
    <n v="204.8"/>
    <n v="164.9"/>
    <n v="196.6"/>
    <n v="180.7"/>
    <n v="202.7"/>
    <n v="180.3"/>
    <n v="167"/>
    <n v="178.2"/>
    <n v="173.5"/>
    <n v="182.8"/>
    <n v="169.2"/>
    <n v="180.8"/>
    <n v="159.80000000000001"/>
    <n v="168.4"/>
    <n v="172.5"/>
    <n v="181.4"/>
    <n v="170"/>
    <n v="177.16923076923075"/>
    <n v="185.55"/>
    <n v="171.35"/>
    <n v="181.10000000000002"/>
    <n v="175.16666666666666"/>
    <n v="176.3"/>
    <x v="72"/>
    <n v="82.28"/>
  </r>
  <r>
    <x v="2"/>
    <x v="2"/>
    <x v="1"/>
    <x v="25"/>
    <n v="174.4"/>
    <n v="207.7"/>
    <n v="175.2"/>
    <n v="177.3"/>
    <n v="179.3"/>
    <n v="169.5"/>
    <n v="152.69999999999999"/>
    <n v="171"/>
    <n v="120"/>
    <n v="209.7"/>
    <n v="172.3"/>
    <n v="193"/>
    <n v="177"/>
    <n v="199.5"/>
    <n v="186.2"/>
    <n v="178.7"/>
    <n v="185.1"/>
    <n v="173.5"/>
    <n v="182.1"/>
    <n v="174.2"/>
    <n v="184.4"/>
    <n v="164.2"/>
    <n v="170.3"/>
    <n v="175"/>
    <n v="181"/>
    <n v="174.1"/>
    <n v="175.3153846153846"/>
    <n v="184.9"/>
    <n v="173.85"/>
    <n v="182.7"/>
    <n v="183.33333333333334"/>
    <n v="177.2"/>
    <x v="73"/>
    <n v="82.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00BD99-9A76-448F-ADD4-A220B1B29E4C}" name="Latest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J13" firstHeaderRow="0" firstDataRow="1" firstDataCol="1"/>
  <pivotFields count="36">
    <pivotField axis="axisRow" showAll="0">
      <items count="4">
        <item x="0"/>
        <item x="2"/>
        <item x="1"/>
        <item t="default"/>
      </items>
    </pivotField>
    <pivotField axis="axisRow" showAll="0">
      <items count="12">
        <item h="1" x="0"/>
        <item h="1" x="1"/>
        <item h="1" x="2"/>
        <item h="1" x="3"/>
        <item h="1" x="4"/>
        <item h="1" x="5"/>
        <item h="1" x="6"/>
        <item h="1" x="7"/>
        <item h="1" x="8"/>
        <item h="1" x="9"/>
        <item x="10"/>
        <item t="default"/>
      </items>
    </pivotField>
    <pivotField axis="axisRow" showAll="0">
      <items count="14">
        <item h="1" x="0"/>
        <item h="1" x="1"/>
        <item h="1" x="2"/>
        <item h="1" x="3"/>
        <item x="4"/>
        <item h="1" x="5"/>
        <item h="1" x="6"/>
        <item h="1" x="7"/>
        <item h="1" x="8"/>
        <item h="1" x="9"/>
        <item h="1" x="10"/>
        <item h="1" x="11"/>
        <item h="1" m="1" x="12"/>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 numFmtId="2" showAll="0"/>
    <pivotField dataField="1" numFmtId="2" showAll="0"/>
    <pivotField numFmtId="2" showAll="0"/>
    <pivotField dataField="1" numFmtId="2" showAll="0"/>
    <pivotField numFmtId="2" showAll="0"/>
    <pivotField dataField="1" numFmtId="2" showAll="0"/>
    <pivotField dataField="1" numFmtId="2" showAll="0"/>
    <pivotField dataField="1" numFmtId="2" showAll="0"/>
    <pivotField dataField="1" numFmtId="2" showAll="0"/>
    <pivotField dataField="1" numFmtId="2" showAll="0"/>
    <pivotField dataField="1" numFmtId="2" showAll="0"/>
    <pivotField numFmtId="2" showAll="0"/>
    <pivotField numFmtId="9" showAll="0"/>
  </pivotFields>
  <rowFields count="3">
    <field x="0"/>
    <field x="1"/>
    <field x="2"/>
  </rowFields>
  <rowItems count="10">
    <i>
      <x/>
    </i>
    <i r="1">
      <x v="10"/>
    </i>
    <i r="2">
      <x v="4"/>
    </i>
    <i>
      <x v="1"/>
    </i>
    <i r="1">
      <x v="10"/>
    </i>
    <i r="2">
      <x v="4"/>
    </i>
    <i>
      <x v="2"/>
    </i>
    <i r="1">
      <x v="10"/>
    </i>
    <i r="2">
      <x v="4"/>
    </i>
    <i t="grand">
      <x/>
    </i>
  </rowItems>
  <colFields count="1">
    <field x="-2"/>
  </colFields>
  <colItems count="9">
    <i>
      <x/>
    </i>
    <i i="1">
      <x v="1"/>
    </i>
    <i i="2">
      <x v="2"/>
    </i>
    <i i="3">
      <x v="3"/>
    </i>
    <i i="4">
      <x v="4"/>
    </i>
    <i i="5">
      <x v="5"/>
    </i>
    <i i="6">
      <x v="6"/>
    </i>
    <i i="7">
      <x v="7"/>
    </i>
    <i i="8">
      <x v="8"/>
    </i>
  </colItems>
  <dataFields count="9">
    <dataField name="Sum of Food Bucket" fld="29" baseField="0" baseItem="0" numFmtId="2"/>
    <dataField name="Sum of Recreation Bucket" fld="30" baseField="0" baseItem="0" numFmtId="2"/>
    <dataField name="Sum of Housing bucket" fld="31" baseField="0" baseItem="0" numFmtId="2"/>
    <dataField name="Sum of Health bucket" fld="32" baseField="0" baseItem="0" numFmtId="2"/>
    <dataField name="Sum of clothing bucket" fld="33" baseField="0" baseItem="0" numFmtId="2"/>
    <dataField name="Sum of Miscellaneous" fld="28" baseField="0" baseItem="0" numFmtId="2"/>
    <dataField name="Sum of Education" fld="26" baseField="0" baseItem="0" numFmtId="2"/>
    <dataField name="Sum of Fuel and light" fld="21" baseField="0" baseItem="0" numFmtId="2"/>
    <dataField name="Sum of Transport and communication" fld="2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025FFF-0CB4-48D5-B47D-4875FBA84B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2:AA55" firstHeaderRow="0" firstDataRow="1" firstDataCol="1"/>
  <pivotFields count="36">
    <pivotField axis="axisRow" showAll="0">
      <items count="4">
        <item h="1" x="0"/>
        <item x="2"/>
        <item h="1" x="1"/>
        <item t="default"/>
      </items>
    </pivotField>
    <pivotField axis="axisRow" showAll="0">
      <items count="12">
        <item h="1" x="0"/>
        <item h="1" x="1"/>
        <item h="1" x="2"/>
        <item h="1" x="3"/>
        <item h="1" x="4"/>
        <item h="1" x="5"/>
        <item x="6"/>
        <item h="1" x="7"/>
        <item h="1" x="8"/>
        <item h="1" x="9"/>
        <item h="1" x="10"/>
        <item t="default"/>
      </items>
    </pivotField>
    <pivotField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9" showAll="0"/>
  </pivotFields>
  <rowFields count="2">
    <field x="0"/>
    <field x="1"/>
  </rowFields>
  <rowItems count="3">
    <i>
      <x v="1"/>
    </i>
    <i r="1">
      <x v="6"/>
    </i>
    <i t="grand">
      <x/>
    </i>
  </rowItems>
  <colFields count="1">
    <field x="-2"/>
  </colFields>
  <colItems count="2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colItems>
  <dataFields count="26">
    <dataField name="Sum of Cereals and products" fld="3" baseField="0" baseItem="0" numFmtId="2"/>
    <dataField name="Sum of Meat and fish" fld="4" baseField="0" baseItem="0" numFmtId="2"/>
    <dataField name="Sum of Egg" fld="5" baseField="0" baseItem="0" numFmtId="2"/>
    <dataField name="Sum of Milk and products" fld="6" baseField="0" baseItem="0" numFmtId="2"/>
    <dataField name="Sum of Oils and fats" fld="7" baseField="0" baseItem="0" numFmtId="2"/>
    <dataField name="Sum of Fruits" fld="8" baseField="0" baseItem="0" numFmtId="2"/>
    <dataField name="Sum of Vegetables" fld="9" baseField="0" baseItem="0" numFmtId="2"/>
    <dataField name="Sum of Pulses and products" fld="10" baseField="0" baseItem="0" numFmtId="2"/>
    <dataField name="Sum of Sugar and Confectionery" fld="11" baseField="0" baseItem="0" numFmtId="2"/>
    <dataField name="Sum of Spices" fld="12" baseField="0" baseItem="0" numFmtId="2"/>
    <dataField name="Sum of Non-alcoholic beverages" fld="13" baseField="0" baseItem="0" numFmtId="2"/>
    <dataField name="Sum of Prepared meals, snacks, sweets etc." fld="14" baseField="0" baseItem="0" numFmtId="2"/>
    <dataField name="Sum of Food and beverages" fld="15" baseField="0" baseItem="0" numFmtId="2"/>
    <dataField name="Sum of Pan, tobacco and intoxicants" fld="16" baseField="0" baseItem="0" numFmtId="2"/>
    <dataField name="Sum of Clothing" fld="17" baseField="0" baseItem="0" numFmtId="2"/>
    <dataField name="Sum of Footwear" fld="18" baseField="0" baseItem="0" numFmtId="2"/>
    <dataField name="Sum of Clothing and footwear" fld="19" baseField="0" baseItem="0" numFmtId="2"/>
    <dataField name="Sum of Housing" fld="20" baseField="0" baseItem="0" numFmtId="2"/>
    <dataField name="Sum of Fuel and light" fld="21" baseField="0" baseItem="0" numFmtId="2"/>
    <dataField name="Sum of Household goods and services" fld="22" baseField="0" baseItem="0" numFmtId="2"/>
    <dataField name="Sum of Health" fld="23" baseField="0" baseItem="0" numFmtId="2"/>
    <dataField name="Sum of Transport and communication" fld="24" baseField="0" baseItem="0" numFmtId="2"/>
    <dataField name="Sum of Recreation and amusement" fld="25" baseField="0" baseItem="0" numFmtId="2"/>
    <dataField name="Sum of Education" fld="26" baseField="0" baseItem="0" numFmtId="2"/>
    <dataField name="Sum of Personal care and effects" fld="27" baseField="0" baseItem="0" numFmtId="2"/>
    <dataField name="Sum of Miscellaneous" fld="28" baseField="0" baseItem="0" numFmtId="2"/>
  </dataFields>
  <chartFormats count="26">
    <chartFormat chart="5" format="52" series="1">
      <pivotArea type="data" outline="0" fieldPosition="0">
        <references count="1">
          <reference field="4294967294" count="1" selected="0">
            <x v="0"/>
          </reference>
        </references>
      </pivotArea>
    </chartFormat>
    <chartFormat chart="5" format="53" series="1">
      <pivotArea type="data" outline="0" fieldPosition="0">
        <references count="1">
          <reference field="4294967294" count="1" selected="0">
            <x v="1"/>
          </reference>
        </references>
      </pivotArea>
    </chartFormat>
    <chartFormat chart="5" format="54" series="1">
      <pivotArea type="data" outline="0" fieldPosition="0">
        <references count="1">
          <reference field="4294967294" count="1" selected="0">
            <x v="2"/>
          </reference>
        </references>
      </pivotArea>
    </chartFormat>
    <chartFormat chart="5" format="55" series="1">
      <pivotArea type="data" outline="0" fieldPosition="0">
        <references count="1">
          <reference field="4294967294" count="1" selected="0">
            <x v="3"/>
          </reference>
        </references>
      </pivotArea>
    </chartFormat>
    <chartFormat chart="5" format="56" series="1">
      <pivotArea type="data" outline="0" fieldPosition="0">
        <references count="1">
          <reference field="4294967294" count="1" selected="0">
            <x v="4"/>
          </reference>
        </references>
      </pivotArea>
    </chartFormat>
    <chartFormat chart="5" format="57" series="1">
      <pivotArea type="data" outline="0" fieldPosition="0">
        <references count="1">
          <reference field="4294967294" count="1" selected="0">
            <x v="5"/>
          </reference>
        </references>
      </pivotArea>
    </chartFormat>
    <chartFormat chart="5" format="58" series="1">
      <pivotArea type="data" outline="0" fieldPosition="0">
        <references count="1">
          <reference field="4294967294" count="1" selected="0">
            <x v="6"/>
          </reference>
        </references>
      </pivotArea>
    </chartFormat>
    <chartFormat chart="5" format="59" series="1">
      <pivotArea type="data" outline="0" fieldPosition="0">
        <references count="1">
          <reference field="4294967294" count="1" selected="0">
            <x v="7"/>
          </reference>
        </references>
      </pivotArea>
    </chartFormat>
    <chartFormat chart="5" format="60" series="1">
      <pivotArea type="data" outline="0" fieldPosition="0">
        <references count="1">
          <reference field="4294967294" count="1" selected="0">
            <x v="8"/>
          </reference>
        </references>
      </pivotArea>
    </chartFormat>
    <chartFormat chart="5" format="61" series="1">
      <pivotArea type="data" outline="0" fieldPosition="0">
        <references count="1">
          <reference field="4294967294" count="1" selected="0">
            <x v="9"/>
          </reference>
        </references>
      </pivotArea>
    </chartFormat>
    <chartFormat chart="5" format="62" series="1">
      <pivotArea type="data" outline="0" fieldPosition="0">
        <references count="1">
          <reference field="4294967294" count="1" selected="0">
            <x v="10"/>
          </reference>
        </references>
      </pivotArea>
    </chartFormat>
    <chartFormat chart="5" format="63" series="1">
      <pivotArea type="data" outline="0" fieldPosition="0">
        <references count="1">
          <reference field="4294967294" count="1" selected="0">
            <x v="11"/>
          </reference>
        </references>
      </pivotArea>
    </chartFormat>
    <chartFormat chart="5" format="64" series="1">
      <pivotArea type="data" outline="0" fieldPosition="0">
        <references count="1">
          <reference field="4294967294" count="1" selected="0">
            <x v="12"/>
          </reference>
        </references>
      </pivotArea>
    </chartFormat>
    <chartFormat chart="5" format="65" series="1">
      <pivotArea type="data" outline="0" fieldPosition="0">
        <references count="1">
          <reference field="4294967294" count="1" selected="0">
            <x v="13"/>
          </reference>
        </references>
      </pivotArea>
    </chartFormat>
    <chartFormat chart="5" format="66" series="1">
      <pivotArea type="data" outline="0" fieldPosition="0">
        <references count="1">
          <reference field="4294967294" count="1" selected="0">
            <x v="14"/>
          </reference>
        </references>
      </pivotArea>
    </chartFormat>
    <chartFormat chart="5" format="67" series="1">
      <pivotArea type="data" outline="0" fieldPosition="0">
        <references count="1">
          <reference field="4294967294" count="1" selected="0">
            <x v="15"/>
          </reference>
        </references>
      </pivotArea>
    </chartFormat>
    <chartFormat chart="5" format="68" series="1">
      <pivotArea type="data" outline="0" fieldPosition="0">
        <references count="1">
          <reference field="4294967294" count="1" selected="0">
            <x v="16"/>
          </reference>
        </references>
      </pivotArea>
    </chartFormat>
    <chartFormat chart="5" format="69" series="1">
      <pivotArea type="data" outline="0" fieldPosition="0">
        <references count="1">
          <reference field="4294967294" count="1" selected="0">
            <x v="17"/>
          </reference>
        </references>
      </pivotArea>
    </chartFormat>
    <chartFormat chart="5" format="70" series="1">
      <pivotArea type="data" outline="0" fieldPosition="0">
        <references count="1">
          <reference field="4294967294" count="1" selected="0">
            <x v="18"/>
          </reference>
        </references>
      </pivotArea>
    </chartFormat>
    <chartFormat chart="5" format="71" series="1">
      <pivotArea type="data" outline="0" fieldPosition="0">
        <references count="1">
          <reference field="4294967294" count="1" selected="0">
            <x v="19"/>
          </reference>
        </references>
      </pivotArea>
    </chartFormat>
    <chartFormat chart="5" format="72" series="1">
      <pivotArea type="data" outline="0" fieldPosition="0">
        <references count="1">
          <reference field="4294967294" count="1" selected="0">
            <x v="20"/>
          </reference>
        </references>
      </pivotArea>
    </chartFormat>
    <chartFormat chart="5" format="73" series="1">
      <pivotArea type="data" outline="0" fieldPosition="0">
        <references count="1">
          <reference field="4294967294" count="1" selected="0">
            <x v="21"/>
          </reference>
        </references>
      </pivotArea>
    </chartFormat>
    <chartFormat chart="5" format="74" series="1">
      <pivotArea type="data" outline="0" fieldPosition="0">
        <references count="1">
          <reference field="4294967294" count="1" selected="0">
            <x v="22"/>
          </reference>
        </references>
      </pivotArea>
    </chartFormat>
    <chartFormat chart="5" format="75" series="1">
      <pivotArea type="data" outline="0" fieldPosition="0">
        <references count="1">
          <reference field="4294967294" count="1" selected="0">
            <x v="23"/>
          </reference>
        </references>
      </pivotArea>
    </chartFormat>
    <chartFormat chart="5" format="76" series="1">
      <pivotArea type="data" outline="0" fieldPosition="0">
        <references count="1">
          <reference field="4294967294" count="1" selected="0">
            <x v="24"/>
          </reference>
        </references>
      </pivotArea>
    </chartFormat>
    <chartFormat chart="5" format="77" series="1">
      <pivotArea type="data" outline="0" fieldPosition="0">
        <references count="1">
          <reference field="4294967294" count="1" selected="0">
            <x v="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075BE9-E778-484B-B15E-36236D8B8D0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9:C116" firstHeaderRow="1" firstDataRow="2" firstDataCol="1"/>
  <pivotFields count="19">
    <pivotField axis="axisCol" showAll="0">
      <items count="4">
        <item h="1" x="0"/>
        <item x="2"/>
        <item h="1" x="1"/>
        <item t="default"/>
      </items>
    </pivotField>
    <pivotField axis="axisRow" showAll="0">
      <items count="3">
        <item x="0"/>
        <item x="1"/>
        <item t="default"/>
      </items>
    </pivotField>
    <pivotField axis="axisRow" showAll="0">
      <items count="13">
        <item x="8"/>
        <item x="9"/>
        <item x="10"/>
        <item x="11"/>
        <item x="0"/>
        <item x="1"/>
        <item x="2"/>
        <item x="3"/>
        <item x="4"/>
        <item x="5"/>
        <item x="6"/>
        <item x="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9" showAll="0"/>
  </pivotFields>
  <rowFields count="2">
    <field x="1"/>
    <field x="2"/>
  </rowFields>
  <rowItems count="16">
    <i>
      <x/>
    </i>
    <i r="1">
      <x v="4"/>
    </i>
    <i r="1">
      <x v="5"/>
    </i>
    <i r="1">
      <x v="6"/>
    </i>
    <i r="1">
      <x v="7"/>
    </i>
    <i r="1">
      <x v="8"/>
    </i>
    <i r="1">
      <x v="9"/>
    </i>
    <i r="1">
      <x v="10"/>
    </i>
    <i r="1">
      <x v="11"/>
    </i>
    <i>
      <x v="1"/>
    </i>
    <i r="1">
      <x/>
    </i>
    <i r="1">
      <x v="1"/>
    </i>
    <i r="1">
      <x v="2"/>
    </i>
    <i r="1">
      <x v="3"/>
    </i>
    <i r="1">
      <x v="4"/>
    </i>
    <i t="grand">
      <x/>
    </i>
  </rowItems>
  <colFields count="1">
    <field x="0"/>
  </colFields>
  <colItems count="2">
    <i>
      <x v="1"/>
    </i>
    <i t="grand">
      <x/>
    </i>
  </colItems>
  <dataFields count="1">
    <dataField name="Sum of FOOD MOM" fld="17" baseField="0" baseItem="0" numFmtId="2"/>
  </dataFields>
  <chartFormats count="6">
    <chartFormat chart="12" format="10" series="1">
      <pivotArea type="data" outline="0" fieldPosition="0">
        <references count="1">
          <reference field="0" count="1" selected="0">
            <x v="0"/>
          </reference>
        </references>
      </pivotArea>
    </chartFormat>
    <chartFormat chart="12" format="11" series="1">
      <pivotArea type="data" outline="0" fieldPosition="0">
        <references count="1">
          <reference field="0" count="1" selected="0">
            <x v="1"/>
          </reference>
        </references>
      </pivotArea>
    </chartFormat>
    <chartFormat chart="12" format="12" series="1">
      <pivotArea type="data" outline="0" fieldPosition="0">
        <references count="1">
          <reference field="0" count="1" selected="0">
            <x v="2"/>
          </reference>
        </references>
      </pivotArea>
    </chartFormat>
    <chartFormat chart="12" format="27" series="1">
      <pivotArea type="data" outline="0" fieldPosition="0">
        <references count="2">
          <reference field="4294967294" count="1" selected="0">
            <x v="0"/>
          </reference>
          <reference field="0" count="1" selected="0">
            <x v="1"/>
          </reference>
        </references>
      </pivotArea>
    </chartFormat>
    <chartFormat chart="12" format="28" series="1">
      <pivotArea type="data" outline="0" fieldPosition="0">
        <references count="2">
          <reference field="4294967294" count="1" selected="0">
            <x v="0"/>
          </reference>
          <reference field="0" count="1" selected="0">
            <x v="2"/>
          </reference>
        </references>
      </pivotArea>
    </chartFormat>
    <chartFormat chart="12" format="29"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171E8-AEAA-4E9A-BD06-88CC7255E2FE}" name="YoY CPI 20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49" firstHeaderRow="1" firstDataRow="1" firstDataCol="1"/>
  <pivotFields count="36">
    <pivotField axis="axisRow" showAll="0">
      <items count="4">
        <item h="1" x="0"/>
        <item x="2"/>
        <item h="1" x="1"/>
        <item t="default"/>
      </items>
    </pivotField>
    <pivotField axis="axisRow" showAll="0">
      <items count="12">
        <item h="1" x="0"/>
        <item h="1" x="1"/>
        <item h="1" x="2"/>
        <item h="1" x="3"/>
        <item x="4"/>
        <item x="5"/>
        <item x="6"/>
        <item x="7"/>
        <item x="8"/>
        <item x="9"/>
        <item x="10"/>
        <item t="default"/>
      </items>
    </pivotField>
    <pivotField axis="axisRow" showAll="0">
      <items count="14">
        <item x="0"/>
        <item h="1" x="1"/>
        <item h="1" x="2"/>
        <item h="1" x="3"/>
        <item h="1" x="4"/>
        <item h="1" x="5"/>
        <item h="1" x="6"/>
        <item h="1" x="7"/>
        <item h="1" x="8"/>
        <item h="1" x="9"/>
        <item h="1" x="10"/>
        <item x="11"/>
        <item h="1" m="1" x="12"/>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9" showAll="0"/>
  </pivotFields>
  <rowFields count="3">
    <field x="0"/>
    <field x="1"/>
    <field x="2"/>
  </rowFields>
  <rowItems count="22">
    <i>
      <x v="1"/>
    </i>
    <i r="1">
      <x v="4"/>
    </i>
    <i r="2">
      <x/>
    </i>
    <i r="2">
      <x v="11"/>
    </i>
    <i r="1">
      <x v="5"/>
    </i>
    <i r="2">
      <x/>
    </i>
    <i r="2">
      <x v="11"/>
    </i>
    <i r="1">
      <x v="6"/>
    </i>
    <i r="2">
      <x/>
    </i>
    <i r="2">
      <x v="11"/>
    </i>
    <i r="1">
      <x v="7"/>
    </i>
    <i r="2">
      <x/>
    </i>
    <i r="2">
      <x v="11"/>
    </i>
    <i r="1">
      <x v="8"/>
    </i>
    <i r="2">
      <x/>
    </i>
    <i r="2">
      <x v="11"/>
    </i>
    <i r="1">
      <x v="9"/>
    </i>
    <i r="2">
      <x/>
    </i>
    <i r="2">
      <x v="11"/>
    </i>
    <i r="1">
      <x v="10"/>
    </i>
    <i r="2">
      <x/>
    </i>
    <i t="grand">
      <x/>
    </i>
  </rowItems>
  <colItems count="1">
    <i/>
  </colItems>
  <dataFields count="1">
    <dataField name="Sum of General index" fld="3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5D01EB-9261-4FA6-BA83-00EDDF7E72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4:E91" firstHeaderRow="1" firstDataRow="2" firstDataCol="1"/>
  <pivotFields count="36">
    <pivotField axis="axisCol" showAll="0">
      <items count="4">
        <item x="0"/>
        <item x="2"/>
        <item x="1"/>
        <item t="default"/>
      </items>
    </pivotField>
    <pivotField axis="axisRow" showAll="0">
      <items count="12">
        <item h="1" x="0"/>
        <item h="1" x="1"/>
        <item h="1" x="2"/>
        <item h="1" x="3"/>
        <item h="1" x="4"/>
        <item h="1" x="5"/>
        <item x="6"/>
        <item x="7"/>
        <item h="1" x="8"/>
        <item h="1" x="9"/>
        <item h="1" x="10"/>
        <item t="default"/>
      </items>
    </pivotField>
    <pivotField axis="axisRow" showAll="0">
      <items count="14">
        <item x="0"/>
        <item x="1"/>
        <item x="2"/>
        <item x="3"/>
        <item x="4"/>
        <item x="5"/>
        <item x="6"/>
        <item x="7"/>
        <item x="8"/>
        <item x="9"/>
        <item x="10"/>
        <item x="11"/>
        <item m="1" x="12"/>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9" showAll="0"/>
  </pivotFields>
  <rowFields count="2">
    <field x="1"/>
    <field x="2"/>
  </rowFields>
  <rowItems count="26">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Sum of MoM %" fld="35" baseField="0" baseItem="0" numFmtId="9"/>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B1B347-9BDC-4E29-B834-15948521035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M99:Z101" firstHeaderRow="0" firstDataRow="1" firstDataCol="1"/>
  <pivotFields count="19">
    <pivotField axis="axisRow" showAll="0">
      <items count="4">
        <item h="1" x="0"/>
        <item x="2"/>
        <item h="1" x="1"/>
        <item t="default"/>
      </items>
    </pivotField>
    <pivotField showAll="0"/>
    <pivotField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numFmtId="2" showAll="0"/>
    <pivotField numFmtId="2" showAll="0"/>
    <pivotField numFmtId="9" showAll="0"/>
  </pivotFields>
  <rowFields count="1">
    <field x="0"/>
  </rowFields>
  <rowItems count="2">
    <i>
      <x v="1"/>
    </i>
    <i t="grand">
      <x/>
    </i>
  </rowItems>
  <colFields count="1">
    <field x="-2"/>
  </colFields>
  <colItems count="13">
    <i>
      <x/>
    </i>
    <i i="1">
      <x v="1"/>
    </i>
    <i i="2">
      <x v="2"/>
    </i>
    <i i="3">
      <x v="3"/>
    </i>
    <i i="4">
      <x v="4"/>
    </i>
    <i i="5">
      <x v="5"/>
    </i>
    <i i="6">
      <x v="6"/>
    </i>
    <i i="7">
      <x v="7"/>
    </i>
    <i i="8">
      <x v="8"/>
    </i>
    <i i="9">
      <x v="9"/>
    </i>
    <i i="10">
      <x v="10"/>
    </i>
    <i i="11">
      <x v="11"/>
    </i>
    <i i="12">
      <x v="12"/>
    </i>
  </colItems>
  <dataFields count="13">
    <dataField name="Sum of Cereals and products" fld="3" baseField="0" baseItem="0" numFmtId="2"/>
    <dataField name="Sum of Meat and fish" fld="4" baseField="0" baseItem="0" numFmtId="2"/>
    <dataField name="Sum of Egg" fld="5" baseField="0" baseItem="0" numFmtId="2"/>
    <dataField name="Sum of Milk and products" fld="6" baseField="0" baseItem="0" numFmtId="2"/>
    <dataField name="Sum of Oils and fats" fld="7" baseField="0" baseItem="0" numFmtId="2"/>
    <dataField name="Sum of Fruits" fld="8" baseField="0" baseItem="0" numFmtId="2"/>
    <dataField name="Sum of Vegetables" fld="9" baseField="0" baseItem="0" numFmtId="2"/>
    <dataField name="Sum of Pulses and products" fld="10" baseField="0" baseItem="0" numFmtId="2"/>
    <dataField name="Sum of Sugar and Confectionery" fld="11" baseField="0" baseItem="0" numFmtId="2"/>
    <dataField name="Sum of Spices" fld="12" baseField="0" baseItem="0" numFmtId="2"/>
    <dataField name="Sum of Non-alcoholic beverages" fld="13" baseField="0" baseItem="0" numFmtId="2"/>
    <dataField name="Sum of Prepared meals, snacks, sweets etc." fld="14" baseField="0" baseItem="0" numFmtId="2"/>
    <dataField name="Sum of Food and beverages" fld="15" baseField="0" baseItem="0" numFmtId="2"/>
  </dataFields>
  <chartFormats count="16">
    <chartFormat chart="12" format="10" series="1">
      <pivotArea type="data" outline="0" fieldPosition="0">
        <references count="1">
          <reference field="0" count="1" selected="0">
            <x v="0"/>
          </reference>
        </references>
      </pivotArea>
    </chartFormat>
    <chartFormat chart="12" format="11" series="1">
      <pivotArea type="data" outline="0" fieldPosition="0">
        <references count="1">
          <reference field="0" count="1" selected="0">
            <x v="1"/>
          </reference>
        </references>
      </pivotArea>
    </chartFormat>
    <chartFormat chart="12" format="12" series="1">
      <pivotArea type="data" outline="0" fieldPosition="0">
        <references count="1">
          <reference field="0" count="1" selected="0">
            <x v="2"/>
          </reference>
        </references>
      </pivotArea>
    </chartFormat>
    <chartFormat chart="64" format="26" series="1">
      <pivotArea type="data" outline="0" fieldPosition="0">
        <references count="1">
          <reference field="4294967294" count="1" selected="0">
            <x v="0"/>
          </reference>
        </references>
      </pivotArea>
    </chartFormat>
    <chartFormat chart="64" format="27" series="1">
      <pivotArea type="data" outline="0" fieldPosition="0">
        <references count="1">
          <reference field="4294967294" count="1" selected="0">
            <x v="1"/>
          </reference>
        </references>
      </pivotArea>
    </chartFormat>
    <chartFormat chart="64" format="28" series="1">
      <pivotArea type="data" outline="0" fieldPosition="0">
        <references count="1">
          <reference field="4294967294" count="1" selected="0">
            <x v="2"/>
          </reference>
        </references>
      </pivotArea>
    </chartFormat>
    <chartFormat chart="64" format="29" series="1">
      <pivotArea type="data" outline="0" fieldPosition="0">
        <references count="1">
          <reference field="4294967294" count="1" selected="0">
            <x v="3"/>
          </reference>
        </references>
      </pivotArea>
    </chartFormat>
    <chartFormat chart="64" format="30" series="1">
      <pivotArea type="data" outline="0" fieldPosition="0">
        <references count="1">
          <reference field="4294967294" count="1" selected="0">
            <x v="4"/>
          </reference>
        </references>
      </pivotArea>
    </chartFormat>
    <chartFormat chart="64" format="31" series="1">
      <pivotArea type="data" outline="0" fieldPosition="0">
        <references count="1">
          <reference field="4294967294" count="1" selected="0">
            <x v="5"/>
          </reference>
        </references>
      </pivotArea>
    </chartFormat>
    <chartFormat chart="64" format="32" series="1">
      <pivotArea type="data" outline="0" fieldPosition="0">
        <references count="1">
          <reference field="4294967294" count="1" selected="0">
            <x v="6"/>
          </reference>
        </references>
      </pivotArea>
    </chartFormat>
    <chartFormat chart="64" format="33" series="1">
      <pivotArea type="data" outline="0" fieldPosition="0">
        <references count="1">
          <reference field="4294967294" count="1" selected="0">
            <x v="7"/>
          </reference>
        </references>
      </pivotArea>
    </chartFormat>
    <chartFormat chart="64" format="34" series="1">
      <pivotArea type="data" outline="0" fieldPosition="0">
        <references count="1">
          <reference field="4294967294" count="1" selected="0">
            <x v="8"/>
          </reference>
        </references>
      </pivotArea>
    </chartFormat>
    <chartFormat chart="64" format="35" series="1">
      <pivotArea type="data" outline="0" fieldPosition="0">
        <references count="1">
          <reference field="4294967294" count="1" selected="0">
            <x v="9"/>
          </reference>
        </references>
      </pivotArea>
    </chartFormat>
    <chartFormat chart="64" format="36" series="1">
      <pivotArea type="data" outline="0" fieldPosition="0">
        <references count="1">
          <reference field="4294967294" count="1" selected="0">
            <x v="10"/>
          </reference>
        </references>
      </pivotArea>
    </chartFormat>
    <chartFormat chart="64" format="37" series="1">
      <pivotArea type="data" outline="0" fieldPosition="0">
        <references count="1">
          <reference field="4294967294" count="1" selected="0">
            <x v="11"/>
          </reference>
        </references>
      </pivotArea>
    </chartFormat>
    <chartFormat chart="64" format="38" series="1">
      <pivotArea type="data" outline="0" fieldPosition="0">
        <references count="1">
          <reference field="429496729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36C27D-5B42-4971-9DEA-9E490B5C30B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124:U156" firstHeaderRow="1" firstDataRow="3" firstDataCol="1"/>
  <pivotFields count="41">
    <pivotField axis="axisCol" showAll="0">
      <items count="4">
        <item h="1" x="0"/>
        <item h="1" x="2"/>
        <item x="1"/>
        <item t="default"/>
      </items>
    </pivotField>
    <pivotField axis="axisRow" showAll="0">
      <items count="4">
        <item x="0"/>
        <item x="1"/>
        <item x="2"/>
        <item t="default"/>
      </items>
    </pivotField>
    <pivotField axis="axisRow" showAll="0">
      <items count="13">
        <item x="0"/>
        <item x="1"/>
        <item x="2"/>
        <item x="3"/>
        <item x="4"/>
        <item x="5"/>
        <item x="6"/>
        <item x="7"/>
        <item x="8"/>
        <item x="9"/>
        <item x="10"/>
        <item x="11"/>
        <item t="default"/>
      </items>
    </pivotField>
    <pivotField numFmtId="1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2" showAll="0"/>
    <pivotField dataField="1"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numFmtId="2" showAll="0"/>
    <pivotField dataField="1" numFmtId="2" showAll="0"/>
    <pivotField numFmtId="2" showAll="0"/>
    <pivotField numFmtId="2" showAll="0"/>
    <pivotField numFmtId="2" showAll="0"/>
    <pivotField dataField="1" numFmtId="2" showAll="0"/>
    <pivotField numFmtId="2" showAll="0"/>
    <pivotField numFmtId="2" showAll="0"/>
    <pivotField dataField="1" numFmtId="2" showAll="0"/>
    <pivotField dataField="1"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9" showAll="0">
      <items count="75">
        <item x="0"/>
        <item x="3"/>
        <item x="2"/>
        <item x="64"/>
        <item x="1"/>
        <item x="67"/>
        <item x="5"/>
        <item x="66"/>
        <item x="34"/>
        <item x="31"/>
        <item x="36"/>
        <item x="33"/>
        <item x="32"/>
        <item x="35"/>
        <item x="65"/>
        <item x="63"/>
        <item x="6"/>
        <item x="71"/>
        <item x="8"/>
        <item x="37"/>
        <item x="39"/>
        <item x="24"/>
        <item x="21"/>
        <item x="7"/>
        <item x="38"/>
        <item x="22"/>
        <item x="4"/>
        <item x="50"/>
        <item x="68"/>
        <item x="73"/>
        <item x="52"/>
        <item x="23"/>
        <item x="70"/>
        <item x="69"/>
        <item x="54"/>
        <item x="56"/>
        <item x="57"/>
        <item x="51"/>
        <item x="53"/>
        <item x="17"/>
        <item x="16"/>
        <item x="55"/>
        <item x="9"/>
        <item x="59"/>
        <item x="41"/>
        <item x="29"/>
        <item x="15"/>
        <item x="58"/>
        <item x="49"/>
        <item x="11"/>
        <item x="18"/>
        <item x="61"/>
        <item x="10"/>
        <item x="30"/>
        <item x="20"/>
        <item x="28"/>
        <item x="62"/>
        <item x="72"/>
        <item x="60"/>
        <item x="19"/>
        <item x="48"/>
        <item x="47"/>
        <item x="13"/>
        <item x="42"/>
        <item x="46"/>
        <item x="40"/>
        <item x="43"/>
        <item x="25"/>
        <item x="27"/>
        <item x="26"/>
        <item x="45"/>
        <item x="44"/>
        <item x="14"/>
        <item x="1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2">
    <field x="1"/>
    <field x="2"/>
  </rowFields>
  <rowItems count="3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t="grand">
      <x/>
    </i>
  </rowItems>
  <colFields count="2">
    <field x="0"/>
    <field x="-2"/>
  </colFields>
  <colItems count="20">
    <i>
      <x v="2"/>
      <x/>
    </i>
    <i r="1" i="1">
      <x v="1"/>
    </i>
    <i r="1" i="2">
      <x v="2"/>
    </i>
    <i r="1" i="3">
      <x v="3"/>
    </i>
    <i r="1" i="4">
      <x v="4"/>
    </i>
    <i r="1" i="5">
      <x v="5"/>
    </i>
    <i r="1" i="6">
      <x v="6"/>
    </i>
    <i r="1" i="7">
      <x v="7"/>
    </i>
    <i r="1" i="8">
      <x v="8"/>
    </i>
    <i r="1" i="9">
      <x v="9"/>
    </i>
    <i t="grand">
      <x/>
    </i>
    <i t="grand" i="1">
      <x/>
    </i>
    <i t="grand" i="2">
      <x/>
    </i>
    <i t="grand" i="3">
      <x/>
    </i>
    <i t="grand" i="4">
      <x/>
    </i>
    <i t="grand" i="5">
      <x/>
    </i>
    <i t="grand" i="6">
      <x/>
    </i>
    <i t="grand" i="7">
      <x/>
    </i>
    <i t="grand" i="8">
      <x/>
    </i>
    <i t="grand" i="9">
      <x/>
    </i>
  </colItems>
  <dataFields count="10">
    <dataField name="Sum of Oil Price" fld="37" baseField="0" baseItem="0"/>
    <dataField name="Sum of Meat and fish" fld="5" baseField="0" baseItem="0" numFmtId="2"/>
    <dataField name="Sum of Oils and fats" fld="8" baseField="0" baseItem="0" numFmtId="2"/>
    <dataField name="Sum of Prepared meals, snacks, sweets etc." fld="15" baseField="0" baseItem="0" numFmtId="2"/>
    <dataField name="Sum of Food and beverages" fld="16" baseField="0" baseItem="0" numFmtId="2"/>
    <dataField name="Sum of Clothing" fld="18" baseField="0" baseItem="0" numFmtId="2"/>
    <dataField name="Sum of Transport and communication" fld="25" baseField="0" baseItem="0" numFmtId="2"/>
    <dataField name="Sum of Recreation and amusement" fld="26" baseField="0" baseItem="0" numFmtId="2"/>
    <dataField name="Sum of Miscellaneous" fld="29" baseField="0" baseItem="0" numFmtId="2"/>
    <dataField name="Sum of Fuel and light" fld="22" baseField="0" baseItem="0" numFmtId="2"/>
  </dataFields>
  <chartFormats count="30">
    <chartFormat chart="72" format="20" series="1">
      <pivotArea type="data" outline="0" fieldPosition="0">
        <references count="2">
          <reference field="4294967294" count="1" selected="0">
            <x v="0"/>
          </reference>
          <reference field="0" count="1" selected="0">
            <x v="1"/>
          </reference>
        </references>
      </pivotArea>
    </chartFormat>
    <chartFormat chart="72" format="21" series="1">
      <pivotArea type="data" outline="0" fieldPosition="0">
        <references count="2">
          <reference field="4294967294" count="1" selected="0">
            <x v="1"/>
          </reference>
          <reference field="0" count="1" selected="0">
            <x v="1"/>
          </reference>
        </references>
      </pivotArea>
    </chartFormat>
    <chartFormat chart="72" format="22" series="1">
      <pivotArea type="data" outline="0" fieldPosition="0">
        <references count="2">
          <reference field="4294967294" count="1" selected="0">
            <x v="2"/>
          </reference>
          <reference field="0" count="1" selected="0">
            <x v="1"/>
          </reference>
        </references>
      </pivotArea>
    </chartFormat>
    <chartFormat chart="72" format="23" series="1">
      <pivotArea type="data" outline="0" fieldPosition="0">
        <references count="2">
          <reference field="4294967294" count="1" selected="0">
            <x v="3"/>
          </reference>
          <reference field="0" count="1" selected="0">
            <x v="1"/>
          </reference>
        </references>
      </pivotArea>
    </chartFormat>
    <chartFormat chart="72" format="24" series="1">
      <pivotArea type="data" outline="0" fieldPosition="0">
        <references count="2">
          <reference field="4294967294" count="1" selected="0">
            <x v="4"/>
          </reference>
          <reference field="0" count="1" selected="0">
            <x v="1"/>
          </reference>
        </references>
      </pivotArea>
    </chartFormat>
    <chartFormat chart="72" format="25" series="1">
      <pivotArea type="data" outline="0" fieldPosition="0">
        <references count="2">
          <reference field="4294967294" count="1" selected="0">
            <x v="5"/>
          </reference>
          <reference field="0" count="1" selected="0">
            <x v="1"/>
          </reference>
        </references>
      </pivotArea>
    </chartFormat>
    <chartFormat chart="72" format="26" series="1">
      <pivotArea type="data" outline="0" fieldPosition="0">
        <references count="2">
          <reference field="4294967294" count="1" selected="0">
            <x v="6"/>
          </reference>
          <reference field="0" count="1" selected="0">
            <x v="1"/>
          </reference>
        </references>
      </pivotArea>
    </chartFormat>
    <chartFormat chart="72" format="27" series="1">
      <pivotArea type="data" outline="0" fieldPosition="0">
        <references count="2">
          <reference field="4294967294" count="1" selected="0">
            <x v="7"/>
          </reference>
          <reference field="0" count="1" selected="0">
            <x v="1"/>
          </reference>
        </references>
      </pivotArea>
    </chartFormat>
    <chartFormat chart="72" format="28" series="1">
      <pivotArea type="data" outline="0" fieldPosition="0">
        <references count="2">
          <reference field="4294967294" count="1" selected="0">
            <x v="8"/>
          </reference>
          <reference field="0" count="1" selected="0">
            <x v="1"/>
          </reference>
        </references>
      </pivotArea>
    </chartFormat>
    <chartFormat chart="72" format="29" series="1">
      <pivotArea type="data" outline="0" fieldPosition="0">
        <references count="2">
          <reference field="4294967294" count="1" selected="0">
            <x v="9"/>
          </reference>
          <reference field="0" count="1" selected="0">
            <x v="1"/>
          </reference>
        </references>
      </pivotArea>
    </chartFormat>
    <chartFormat chart="72" format="30" series="1">
      <pivotArea type="data" outline="0" fieldPosition="0">
        <references count="2">
          <reference field="4294967294" count="1" selected="0">
            <x v="0"/>
          </reference>
          <reference field="0" count="1" selected="0">
            <x v="0"/>
          </reference>
        </references>
      </pivotArea>
    </chartFormat>
    <chartFormat chart="72" format="31" series="1">
      <pivotArea type="data" outline="0" fieldPosition="0">
        <references count="2">
          <reference field="4294967294" count="1" selected="0">
            <x v="1"/>
          </reference>
          <reference field="0" count="1" selected="0">
            <x v="0"/>
          </reference>
        </references>
      </pivotArea>
    </chartFormat>
    <chartFormat chart="72" format="32" series="1">
      <pivotArea type="data" outline="0" fieldPosition="0">
        <references count="2">
          <reference field="4294967294" count="1" selected="0">
            <x v="2"/>
          </reference>
          <reference field="0" count="1" selected="0">
            <x v="0"/>
          </reference>
        </references>
      </pivotArea>
    </chartFormat>
    <chartFormat chart="72" format="33" series="1">
      <pivotArea type="data" outline="0" fieldPosition="0">
        <references count="2">
          <reference field="4294967294" count="1" selected="0">
            <x v="3"/>
          </reference>
          <reference field="0" count="1" selected="0">
            <x v="0"/>
          </reference>
        </references>
      </pivotArea>
    </chartFormat>
    <chartFormat chart="72" format="34" series="1">
      <pivotArea type="data" outline="0" fieldPosition="0">
        <references count="2">
          <reference field="4294967294" count="1" selected="0">
            <x v="4"/>
          </reference>
          <reference field="0" count="1" selected="0">
            <x v="0"/>
          </reference>
        </references>
      </pivotArea>
    </chartFormat>
    <chartFormat chart="72" format="35" series="1">
      <pivotArea type="data" outline="0" fieldPosition="0">
        <references count="2">
          <reference field="4294967294" count="1" selected="0">
            <x v="5"/>
          </reference>
          <reference field="0" count="1" selected="0">
            <x v="0"/>
          </reference>
        </references>
      </pivotArea>
    </chartFormat>
    <chartFormat chart="72" format="36" series="1">
      <pivotArea type="data" outline="0" fieldPosition="0">
        <references count="2">
          <reference field="4294967294" count="1" selected="0">
            <x v="6"/>
          </reference>
          <reference field="0" count="1" selected="0">
            <x v="0"/>
          </reference>
        </references>
      </pivotArea>
    </chartFormat>
    <chartFormat chart="72" format="37" series="1">
      <pivotArea type="data" outline="0" fieldPosition="0">
        <references count="2">
          <reference field="4294967294" count="1" selected="0">
            <x v="7"/>
          </reference>
          <reference field="0" count="1" selected="0">
            <x v="0"/>
          </reference>
        </references>
      </pivotArea>
    </chartFormat>
    <chartFormat chart="72" format="38" series="1">
      <pivotArea type="data" outline="0" fieldPosition="0">
        <references count="2">
          <reference field="4294967294" count="1" selected="0">
            <x v="8"/>
          </reference>
          <reference field="0" count="1" selected="0">
            <x v="0"/>
          </reference>
        </references>
      </pivotArea>
    </chartFormat>
    <chartFormat chart="72" format="39" series="1">
      <pivotArea type="data" outline="0" fieldPosition="0">
        <references count="2">
          <reference field="4294967294" count="1" selected="0">
            <x v="9"/>
          </reference>
          <reference field="0" count="1" selected="0">
            <x v="0"/>
          </reference>
        </references>
      </pivotArea>
    </chartFormat>
    <chartFormat chart="72" format="40" series="1">
      <pivotArea type="data" outline="0" fieldPosition="0">
        <references count="2">
          <reference field="4294967294" count="1" selected="0">
            <x v="0"/>
          </reference>
          <reference field="0" count="1" selected="0">
            <x v="2"/>
          </reference>
        </references>
      </pivotArea>
    </chartFormat>
    <chartFormat chart="72" format="41" series="1">
      <pivotArea type="data" outline="0" fieldPosition="0">
        <references count="2">
          <reference field="4294967294" count="1" selected="0">
            <x v="1"/>
          </reference>
          <reference field="0" count="1" selected="0">
            <x v="2"/>
          </reference>
        </references>
      </pivotArea>
    </chartFormat>
    <chartFormat chart="72" format="42" series="1">
      <pivotArea type="data" outline="0" fieldPosition="0">
        <references count="2">
          <reference field="4294967294" count="1" selected="0">
            <x v="2"/>
          </reference>
          <reference field="0" count="1" selected="0">
            <x v="2"/>
          </reference>
        </references>
      </pivotArea>
    </chartFormat>
    <chartFormat chart="72" format="43" series="1">
      <pivotArea type="data" outline="0" fieldPosition="0">
        <references count="2">
          <reference field="4294967294" count="1" selected="0">
            <x v="3"/>
          </reference>
          <reference field="0" count="1" selected="0">
            <x v="2"/>
          </reference>
        </references>
      </pivotArea>
    </chartFormat>
    <chartFormat chart="72" format="44" series="1">
      <pivotArea type="data" outline="0" fieldPosition="0">
        <references count="2">
          <reference field="4294967294" count="1" selected="0">
            <x v="4"/>
          </reference>
          <reference field="0" count="1" selected="0">
            <x v="2"/>
          </reference>
        </references>
      </pivotArea>
    </chartFormat>
    <chartFormat chart="72" format="45" series="1">
      <pivotArea type="data" outline="0" fieldPosition="0">
        <references count="2">
          <reference field="4294967294" count="1" selected="0">
            <x v="5"/>
          </reference>
          <reference field="0" count="1" selected="0">
            <x v="2"/>
          </reference>
        </references>
      </pivotArea>
    </chartFormat>
    <chartFormat chart="72" format="46" series="1">
      <pivotArea type="data" outline="0" fieldPosition="0">
        <references count="2">
          <reference field="4294967294" count="1" selected="0">
            <x v="6"/>
          </reference>
          <reference field="0" count="1" selected="0">
            <x v="2"/>
          </reference>
        </references>
      </pivotArea>
    </chartFormat>
    <chartFormat chart="72" format="47" series="1">
      <pivotArea type="data" outline="0" fieldPosition="0">
        <references count="2">
          <reference field="4294967294" count="1" selected="0">
            <x v="7"/>
          </reference>
          <reference field="0" count="1" selected="0">
            <x v="2"/>
          </reference>
        </references>
      </pivotArea>
    </chartFormat>
    <chartFormat chart="72" format="48" series="1">
      <pivotArea type="data" outline="0" fieldPosition="0">
        <references count="2">
          <reference field="4294967294" count="1" selected="0">
            <x v="8"/>
          </reference>
          <reference field="0" count="1" selected="0">
            <x v="2"/>
          </reference>
        </references>
      </pivotArea>
    </chartFormat>
    <chartFormat chart="72" format="49" series="1">
      <pivotArea type="data" outline="0" fieldPosition="0">
        <references count="2">
          <reference field="4294967294" count="1" selected="0">
            <x v="9"/>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1BD148-E42A-4BD3-B014-4583A319199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G99:I116" firstHeaderRow="1" firstDataRow="2" firstDataCol="1"/>
  <pivotFields count="19">
    <pivotField axis="axisCol" showAll="0">
      <items count="4">
        <item h="1" x="0"/>
        <item x="2"/>
        <item h="1" x="1"/>
        <item t="default"/>
      </items>
    </pivotField>
    <pivotField axis="axisRow" showAll="0">
      <items count="3">
        <item x="0"/>
        <item x="1"/>
        <item t="default"/>
      </items>
    </pivotField>
    <pivotField axis="axisRow" showAll="0">
      <items count="13">
        <item x="8"/>
        <item x="9"/>
        <item x="10"/>
        <item x="11"/>
        <item x="0"/>
        <item x="1"/>
        <item x="2"/>
        <item x="3"/>
        <item x="4"/>
        <item x="5"/>
        <item x="6"/>
        <item x="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9" showAll="0"/>
  </pivotFields>
  <rowFields count="2">
    <field x="1"/>
    <field x="2"/>
  </rowFields>
  <rowItems count="16">
    <i>
      <x/>
    </i>
    <i r="1">
      <x v="4"/>
    </i>
    <i r="1">
      <x v="5"/>
    </i>
    <i r="1">
      <x v="6"/>
    </i>
    <i r="1">
      <x v="7"/>
    </i>
    <i r="1">
      <x v="8"/>
    </i>
    <i r="1">
      <x v="9"/>
    </i>
    <i r="1">
      <x v="10"/>
    </i>
    <i r="1">
      <x v="11"/>
    </i>
    <i>
      <x v="1"/>
    </i>
    <i r="1">
      <x/>
    </i>
    <i r="1">
      <x v="1"/>
    </i>
    <i r="1">
      <x v="2"/>
    </i>
    <i r="1">
      <x v="3"/>
    </i>
    <i r="1">
      <x v="4"/>
    </i>
    <i t="grand">
      <x/>
    </i>
  </rowItems>
  <colFields count="1">
    <field x="0"/>
  </colFields>
  <colItems count="2">
    <i>
      <x v="1"/>
    </i>
    <i t="grand">
      <x/>
    </i>
  </colItems>
  <dataFields count="1">
    <dataField name="Sum of ABSOLUTE CHANGE %" fld="18" baseField="0" baseItem="0" numFmtId="9"/>
  </dataFields>
  <chartFormats count="9">
    <chartFormat chart="12" format="10" series="1">
      <pivotArea type="data" outline="0" fieldPosition="0">
        <references count="1">
          <reference field="0" count="1" selected="0">
            <x v="0"/>
          </reference>
        </references>
      </pivotArea>
    </chartFormat>
    <chartFormat chart="12" format="11" series="1">
      <pivotArea type="data" outline="0" fieldPosition="0">
        <references count="1">
          <reference field="0" count="1" selected="0">
            <x v="1"/>
          </reference>
        </references>
      </pivotArea>
    </chartFormat>
    <chartFormat chart="12" format="12" series="1">
      <pivotArea type="data" outline="0" fieldPosition="0">
        <references count="1">
          <reference field="0" count="1" selected="0">
            <x v="2"/>
          </reference>
        </references>
      </pivotArea>
    </chartFormat>
    <chartFormat chart="44" format="9" series="1">
      <pivotArea type="data" outline="0" fieldPosition="0">
        <references count="1">
          <reference field="0" count="1" selected="0">
            <x v="0"/>
          </reference>
        </references>
      </pivotArea>
    </chartFormat>
    <chartFormat chart="44" format="10" series="1">
      <pivotArea type="data" outline="0" fieldPosition="0">
        <references count="1">
          <reference field="0" count="1" selected="0">
            <x v="1"/>
          </reference>
        </references>
      </pivotArea>
    </chartFormat>
    <chartFormat chart="44" format="11" series="1">
      <pivotArea type="data" outline="0" fieldPosition="0">
        <references count="1">
          <reference field="0" count="1" selected="0">
            <x v="2"/>
          </reference>
        </references>
      </pivotArea>
    </chartFormat>
    <chartFormat chart="44" format="12" series="1">
      <pivotArea type="data" outline="0" fieldPosition="0">
        <references count="2">
          <reference field="4294967294" count="1" selected="0">
            <x v="0"/>
          </reference>
          <reference field="0" count="1" selected="0">
            <x v="1"/>
          </reference>
        </references>
      </pivotArea>
    </chartFormat>
    <chartFormat chart="44" format="13" series="1">
      <pivotArea type="data" outline="0" fieldPosition="0">
        <references count="2">
          <reference field="4294967294" count="1" selected="0">
            <x v="0"/>
          </reference>
          <reference field="0" count="1" selected="0">
            <x v="2"/>
          </reference>
        </references>
      </pivotArea>
    </chartFormat>
    <chartFormat chart="44" format="14"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BFAD11-DC50-47FB-BEE3-41D98AA7C05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64:K92" firstHeaderRow="1" firstDataRow="2" firstDataCol="1"/>
  <pivotFields count="36">
    <pivotField axis="axisCol" showAll="0">
      <items count="4">
        <item x="0"/>
        <item x="2"/>
        <item x="1"/>
        <item t="default"/>
      </items>
    </pivotField>
    <pivotField axis="axisRow" showAll="0">
      <items count="12">
        <item h="1" x="0"/>
        <item h="1" x="1"/>
        <item h="1" x="2"/>
        <item h="1" x="3"/>
        <item h="1" x="4"/>
        <item h="1" x="5"/>
        <item h="1" x="6"/>
        <item x="7"/>
        <item x="8"/>
        <item h="1" x="9"/>
        <item h="1" x="10"/>
        <item t="default"/>
      </items>
    </pivotField>
    <pivotField axis="axisRow" showAll="0">
      <items count="14">
        <item x="0"/>
        <item x="1"/>
        <item x="2"/>
        <item x="3"/>
        <item x="4"/>
        <item x="5"/>
        <item x="6"/>
        <item x="7"/>
        <item x="8"/>
        <item x="9"/>
        <item x="10"/>
        <item x="11"/>
        <item m="1" x="12"/>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9" showAll="0"/>
  </pivotFields>
  <rowFields count="2">
    <field x="1"/>
    <field x="2"/>
  </rowFields>
  <rowItems count="27">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t="grand">
      <x/>
    </i>
  </rowItems>
  <colFields count="1">
    <field x="0"/>
  </colFields>
  <colItems count="4">
    <i>
      <x/>
    </i>
    <i>
      <x v="1"/>
    </i>
    <i>
      <x v="2"/>
    </i>
    <i t="grand">
      <x/>
    </i>
  </colItems>
  <dataFields count="1">
    <dataField name="Sum of MoM %" fld="35" baseField="0" baseItem="0" numFmtId="9"/>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1"/>
          </reference>
        </references>
      </pivotArea>
    </chartFormat>
    <chartFormat chart="2" format="5" series="1">
      <pivotArea type="data" outline="0" fieldPosition="0">
        <references count="2">
          <reference field="4294967294" count="1" selected="0">
            <x v="0"/>
          </reference>
          <reference field="0" count="1" selected="0">
            <x v="2"/>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7447F4-0D74-4D63-8BB3-692E3006C114}" autoFormatId="16" applyNumberFormats="0" applyBorderFormats="0" applyFontFormats="0" applyPatternFormats="0" applyAlignmentFormats="0" applyWidthHeightFormats="0">
  <queryTableRefresh nextId="41" unboundColumnsRight="7">
    <queryTableFields count="36">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2" dataBound="0" tableColumnId="31"/>
      <queryTableField id="33" dataBound="0" tableColumnId="32"/>
      <queryTableField id="34" dataBound="0" tableColumnId="33"/>
      <queryTableField id="35" dataBound="0" tableColumnId="34"/>
      <queryTableField id="36" dataBound="0" tableColumnId="35"/>
      <queryTableField id="37" dataBound="0" tableColumnId="36"/>
      <queryTableField id="38" dataBound="0" tableColumnId="37"/>
    </queryTableFields>
    <queryTableDeletedFields count="1">
      <deletedField name="General index"/>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428FD5CC-5EC8-4612-A1B8-16FE0F36E912}" sourceName="Sector">
  <pivotTables>
    <pivotTable tabId="3" name="PivotTable2"/>
    <pivotTable tabId="3" name="PivotTable11"/>
    <pivotTable tabId="3" name="PivotTable12"/>
  </pivotTables>
  <data>
    <tabular pivotCacheId="17760843">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30E1238C-EF09-497E-B742-FE9F1A22FCD5}" sourceName="Sector">
  <pivotTables>
    <pivotTable tabId="3" name="PivotTable10"/>
  </pivotTables>
  <data>
    <tabular pivotCacheId="38605535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209E3CFE-E9F2-4F01-9462-FF7DB64F8278}" cache="Slicer_Sector" caption="Sector" rowHeight="257175"/>
  <slicer name="Sector 1" xr10:uid="{ECED14AA-0118-4380-A470-D9C7CBDD66CD}" cache="Slicer_Sector1" caption="Secto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E3CC72-A8E4-42EA-BCAF-E671EF689FEB}" name="All_India_Index_Upto_April23_CPI_data" displayName="All_India_Index_Upto_April23_CPI_data" ref="A1:AJ373" tableType="queryTable" totalsRowShown="0">
  <autoFilter ref="A1:AJ373" xr:uid="{43E3CC72-A8E4-42EA-BCAF-E671EF689FEB}"/>
  <tableColumns count="36">
    <tableColumn id="1" xr3:uid="{7010844D-5FDF-4508-AB98-543C5DAF86B2}" uniqueName="1" name="Sector" queryTableFieldId="1" dataDxfId="83"/>
    <tableColumn id="2" xr3:uid="{906B79E1-A5FD-406F-87F2-3E7598AB8029}" uniqueName="2" name="Year" queryTableFieldId="2"/>
    <tableColumn id="3" xr3:uid="{D8772986-3092-42B9-A485-243CCF3666B2}" uniqueName="3" name="Month" queryTableFieldId="3" dataDxfId="82"/>
    <tableColumn id="4" xr3:uid="{07598BE2-8708-4F3F-9944-DDB757F6A8C1}" uniqueName="4" name="Cereals and products" queryTableFieldId="4" dataDxfId="81"/>
    <tableColumn id="5" xr3:uid="{FBDE10F1-03F6-43E4-9ACC-26708B20EE59}" uniqueName="5" name="Meat and fish" queryTableFieldId="5" dataDxfId="80"/>
    <tableColumn id="6" xr3:uid="{393B883F-E5E0-4527-B986-1D3C76069D9B}" uniqueName="6" name="Egg" queryTableFieldId="6" dataDxfId="79"/>
    <tableColumn id="7" xr3:uid="{2C717341-A8C6-40F9-BF52-D407DA478B6B}" uniqueName="7" name="Milk and products" queryTableFieldId="7" dataDxfId="78"/>
    <tableColumn id="8" xr3:uid="{1EA24791-6EA1-42EA-9801-6AE9BAB667A5}" uniqueName="8" name="Oils and fats" queryTableFieldId="8" dataDxfId="77"/>
    <tableColumn id="9" xr3:uid="{A8E6DE0E-8D99-4558-867A-FDAE98E4CB84}" uniqueName="9" name="Fruits" queryTableFieldId="9" dataDxfId="76"/>
    <tableColumn id="10" xr3:uid="{60B6FE9F-60BA-4B68-91C8-2E0639F0934F}" uniqueName="10" name="Vegetables" queryTableFieldId="10" dataDxfId="75"/>
    <tableColumn id="11" xr3:uid="{1BFD604A-D643-4F08-9395-678101676D7B}" uniqueName="11" name="Pulses and products" queryTableFieldId="11" dataDxfId="74"/>
    <tableColumn id="12" xr3:uid="{3670EBFA-0186-4445-AF0F-A4820E7B22F8}" uniqueName="12" name="Sugar and Confectionery" queryTableFieldId="12" dataDxfId="73"/>
    <tableColumn id="13" xr3:uid="{EBE9E40C-4F34-4FDE-B0EB-84351ACE3856}" uniqueName="13" name="Spices" queryTableFieldId="13" dataDxfId="72"/>
    <tableColumn id="14" xr3:uid="{B3E86406-1140-4292-8420-75BB64530A40}" uniqueName="14" name="Non-alcoholic beverages" queryTableFieldId="14" dataDxfId="71"/>
    <tableColumn id="15" xr3:uid="{C19446E5-C243-4758-B356-CA51E2FEABBC}" uniqueName="15" name="Prepared meals, snacks, sweets etc." queryTableFieldId="15" dataDxfId="70"/>
    <tableColumn id="16" xr3:uid="{D397A419-63E8-4B1D-81B1-165C13336765}" uniqueName="16" name="Food and beverages" queryTableFieldId="16" dataDxfId="69"/>
    <tableColumn id="17" xr3:uid="{7F32CA10-2CB7-4364-9769-6561EE8D702C}" uniqueName="17" name="Pan, tobacco and intoxicants" queryTableFieldId="17" dataDxfId="68"/>
    <tableColumn id="18" xr3:uid="{A86E409D-DADF-4420-88D9-F3CF714A926A}" uniqueName="18" name="Clothing" queryTableFieldId="18" dataDxfId="67"/>
    <tableColumn id="19" xr3:uid="{36B7496C-4D72-4170-8C80-82BCF14A0C5E}" uniqueName="19" name="Footwear" queryTableFieldId="19" dataDxfId="66"/>
    <tableColumn id="20" xr3:uid="{4C4EC570-F2DE-4A54-B606-C8906E8D5445}" uniqueName="20" name="Clothing and footwear" queryTableFieldId="20" dataDxfId="65"/>
    <tableColumn id="21" xr3:uid="{B6D55150-2734-4735-809C-8BCB42EEEDCC}" uniqueName="21" name="Housing" queryTableFieldId="21" dataDxfId="64"/>
    <tableColumn id="22" xr3:uid="{9E6A2324-B179-4423-9151-6CB23FA98D33}" uniqueName="22" name="Fuel and light" queryTableFieldId="22" dataDxfId="63"/>
    <tableColumn id="23" xr3:uid="{48C9FF73-DB15-431D-913D-34E5388C41C7}" uniqueName="23" name="Household goods and services" queryTableFieldId="23" dataDxfId="62"/>
    <tableColumn id="24" xr3:uid="{145909A5-3714-47EB-9E9E-0E2C80934F7B}" uniqueName="24" name="Health" queryTableFieldId="24" dataDxfId="61"/>
    <tableColumn id="25" xr3:uid="{3D5BE016-D79F-46D9-8B46-6613EAC003DC}" uniqueName="25" name="Transport and communication" queryTableFieldId="25" dataDxfId="60"/>
    <tableColumn id="26" xr3:uid="{B87F988A-59B7-4FEE-BB42-452DE8B43358}" uniqueName="26" name="Recreation and amusement" queryTableFieldId="26" dataDxfId="59"/>
    <tableColumn id="27" xr3:uid="{268D0272-9126-4661-852D-934559110D85}" uniqueName="27" name="Education" queryTableFieldId="27" dataDxfId="58"/>
    <tableColumn id="28" xr3:uid="{6BCB0DB1-431E-4878-B10F-FA81CBBC865B}" uniqueName="28" name="Personal care and effects" queryTableFieldId="28" dataDxfId="57"/>
    <tableColumn id="29" xr3:uid="{C849FC10-7CEC-4F86-997D-6F14F03012B1}" uniqueName="29" name="Miscellaneous" queryTableFieldId="29" dataDxfId="56"/>
    <tableColumn id="31" xr3:uid="{3B123834-B029-4558-A83A-3B4438197C4F}" uniqueName="31" name="Food Bucket" queryTableFieldId="32" dataDxfId="55">
      <calculatedColumnFormula>AVERAGE(All_India_Index_Upto_April23_CPI_data[[#This Row],[Cereals and products]:[Food and beverages]])</calculatedColumnFormula>
    </tableColumn>
    <tableColumn id="32" xr3:uid="{EC7FBE57-6F39-4C5D-BB83-6959A758B555}" uniqueName="32" name="Recreation Bucket" queryTableFieldId="33" dataDxfId="54">
      <calculatedColumnFormula>AVERAGE(All_India_Index_Upto_April23_CPI_data[[#This Row],[Recreation and amusement]],All_India_Index_Upto_April23_CPI_data[[#This Row],[Pan, tobacco and intoxicants]])</calculatedColumnFormula>
    </tableColumn>
    <tableColumn id="33" xr3:uid="{5F6C37CD-E0B1-464B-BC96-EB4C31BDF09E}" uniqueName="33" name="Housing bucket" queryTableFieldId="34" dataDxfId="53">
      <calculatedColumnFormula>AVERAGE(All_India_Index_Upto_April23_CPI_data[[#This Row],[Household goods and services]],All_India_Index_Upto_April23_CPI_data[[#This Row],[Housing]])</calculatedColumnFormula>
    </tableColumn>
    <tableColumn id="34" xr3:uid="{8F5C16A8-7323-4C0E-B887-F8F667E0A687}" uniqueName="34" name="Health bucket" queryTableFieldId="35" dataDxfId="52">
      <calculatedColumnFormula>AVERAGE(All_India_Index_Upto_April23_CPI_data[[#This Row],[Personal care and effects]],All_India_Index_Upto_April23_CPI_data[[#This Row],[Health]])</calculatedColumnFormula>
    </tableColumn>
    <tableColumn id="35" xr3:uid="{F0E1A747-6204-4640-B26B-F70A28096043}" uniqueName="35" name="clothing bucket" queryTableFieldId="36" dataDxfId="51">
      <calculatedColumnFormula>AVERAGE(All_India_Index_Upto_April23_CPI_data[[#This Row],[Clothing]:[Clothing and footwear]])</calculatedColumnFormula>
    </tableColumn>
    <tableColumn id="36" xr3:uid="{243F5B88-CE69-4BB7-8E2B-6EAF26948D06}" uniqueName="36" name="General index" queryTableFieldId="37" dataDxfId="50"/>
    <tableColumn id="37" xr3:uid="{93669D81-D574-42F3-8652-7B3E5E3D2D4A}" uniqueName="37" name="MoM %" queryTableFieldId="38"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7044D4-1178-464B-B2CE-849E3EDD99F0}" name="Table2" displayName="Table2" ref="BO1:CZ79" totalsRowShown="0">
  <autoFilter ref="BO1:CZ79" xr:uid="{FE7044D4-1178-464B-B2CE-849E3EDD99F0}"/>
  <tableColumns count="38">
    <tableColumn id="1" xr3:uid="{E1861250-8F37-4A2D-BC1E-AD6D526E3F38}" name="Sector"/>
    <tableColumn id="2" xr3:uid="{B3A7E2B3-4BD7-41EC-A7FE-A12132E0463F}" name="Year"/>
    <tableColumn id="3" xr3:uid="{06252CF7-164A-45D7-A94A-9153BDF78016}" name="Month"/>
    <tableColumn id="4" xr3:uid="{DAB0217A-9EC9-40EE-BCC0-49AF4F873EB3}" name="Month-Year" dataDxfId="49">
      <calculatedColumnFormula>DATE(BP2,MONTH(DATEVALUE("1 "&amp;BQ2)),1)</calculatedColumnFormula>
    </tableColumn>
    <tableColumn id="5" xr3:uid="{8ADED9FA-6FE5-46AB-86D7-E30C01B2D5A3}" name="Cereals and products" dataDxfId="48"/>
    <tableColumn id="6" xr3:uid="{AE76E52A-FF2A-4E38-AC27-19062CB79971}" name="Meat and fish" dataDxfId="47"/>
    <tableColumn id="7" xr3:uid="{DC8E1D1B-094A-4C94-82A6-B3C066484BE4}" name="Egg" dataDxfId="46"/>
    <tableColumn id="8" xr3:uid="{2EF47DFF-BC43-41BC-92E9-5A2AD15B1CE8}" name="Milk and products" dataDxfId="45"/>
    <tableColumn id="9" xr3:uid="{A0BF9F26-F45F-4E05-9128-E5E30EBC37EA}" name="Oils and fats" dataDxfId="44"/>
    <tableColumn id="10" xr3:uid="{346CF343-9DB5-4A30-8BE7-1F2FCE9F377C}" name="Fruits" dataDxfId="43"/>
    <tableColumn id="11" xr3:uid="{112763A9-1096-4AC6-B889-0DDAB8FC15C4}" name="Vegetables" dataDxfId="42"/>
    <tableColumn id="12" xr3:uid="{C47573D0-60F5-49E2-806C-1A08B75F40D7}" name="Pulses and products" dataDxfId="41"/>
    <tableColumn id="13" xr3:uid="{963F6E15-61F7-49BE-8FBF-8657E34ADC61}" name="Sugar and Confectionery" dataDxfId="40"/>
    <tableColumn id="14" xr3:uid="{EE6AF820-5E6F-4310-9395-B50D532517D6}" name="Spices" dataDxfId="39"/>
    <tableColumn id="15" xr3:uid="{26E2210C-6637-4790-B7C7-0A283D84B9B7}" name="Non-alcoholic beverages" dataDxfId="38"/>
    <tableColumn id="16" xr3:uid="{670DE291-F22E-46F5-8550-02F54968CE0F}" name="Prepared meals, snacks, sweets etc." dataDxfId="37"/>
    <tableColumn id="17" xr3:uid="{A5D275D1-A474-47D3-9670-B7D0D4859467}" name="Food and beverages" dataDxfId="36"/>
    <tableColumn id="18" xr3:uid="{B87A9FF4-C6B4-41D6-BDCB-D93F08C6FBFE}" name="Pan, tobacco and intoxicants" dataDxfId="35"/>
    <tableColumn id="19" xr3:uid="{5B1A91C1-265B-4E88-99C6-BE0F12E55FB5}" name="Clothing" dataDxfId="34"/>
    <tableColumn id="20" xr3:uid="{7461C15C-8BEC-48D5-8579-823A0474A42D}" name="Footwear" dataDxfId="33"/>
    <tableColumn id="21" xr3:uid="{8AE67D29-77B5-4D8B-BE9F-FFD652735664}" name="Clothing and footwear" dataDxfId="32"/>
    <tableColumn id="22" xr3:uid="{68F4D677-414D-4614-9F94-1BC2CFF67B4B}" name="Housing" dataDxfId="31"/>
    <tableColumn id="23" xr3:uid="{26D969FE-5B08-49EA-B665-DC838A14E833}" name="Fuel and light" dataDxfId="30"/>
    <tableColumn id="24" xr3:uid="{F4A6A9D2-75D1-4973-AD4E-CE42A6FA135F}" name="Household goods and services" dataDxfId="29"/>
    <tableColumn id="25" xr3:uid="{47A81194-A20C-4EA3-A52D-716E7A0BF057}" name="Health" dataDxfId="28"/>
    <tableColumn id="26" xr3:uid="{D10F5F22-383A-4A11-B35D-9C4B1F54328E}" name="Transport and communication" dataDxfId="27"/>
    <tableColumn id="27" xr3:uid="{5E6DA386-F1D4-43FF-84D1-E4838400B429}" name="Recreation and amusement" dataDxfId="26"/>
    <tableColumn id="28" xr3:uid="{DC3DD381-8193-4FDC-A77F-52F8D8596592}" name="Education" dataDxfId="25"/>
    <tableColumn id="29" xr3:uid="{8FBF7505-8295-4B55-A435-29B1BE809C18}" name="Personal care and effects" dataDxfId="24"/>
    <tableColumn id="30" xr3:uid="{8731AF00-8254-4A59-9DEA-1395CFA9100F}" name="Miscellaneous" dataDxfId="23"/>
    <tableColumn id="31" xr3:uid="{E4FB024E-1F4B-464E-9FB9-400DBFF08E4B}" name="Food Bucket" dataDxfId="22"/>
    <tableColumn id="32" xr3:uid="{C8D20206-D3FE-494C-BF71-A5AF366E54A7}" name="Recreation Bucket" dataDxfId="21"/>
    <tableColumn id="33" xr3:uid="{9C302A85-7F6C-4EC9-9608-4AFCEBF8B1FD}" name="Housing bucket" dataDxfId="20"/>
    <tableColumn id="34" xr3:uid="{A0C4A8E6-A244-41A4-BAC2-0A8DAB64A1DF}" name="Health bucket" dataDxfId="19"/>
    <tableColumn id="35" xr3:uid="{BD90DA4D-4860-4716-8941-24427D060519}" name="clothing bucket" dataDxfId="18"/>
    <tableColumn id="36" xr3:uid="{BF28538D-3CAF-4178-A820-833B60B8BDF2}" name="General index" dataDxfId="17"/>
    <tableColumn id="37" xr3:uid="{979EC578-F6B5-47A2-BBCC-1D056B0ED884}" name="MoM %" dataDxfId="16" dataCellStyle="Percent"/>
    <tableColumn id="38" xr3:uid="{52620FB7-65C8-4AC8-B4F0-B85D66A46004}" name="Oil Price">
      <calculatedColumnFormula>VLOOKUP(BR2,'OIL PRICE'!$A$1:$B$27,2,0)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8234B9-DBD7-40D6-849A-55753BB6E1CF}" name="Table3" displayName="Table3" ref="AQ1:BI40" totalsRowShown="0">
  <autoFilter ref="AQ1:BI40" xr:uid="{868234B9-DBD7-40D6-849A-55753BB6E1CF}"/>
  <tableColumns count="19">
    <tableColumn id="1" xr3:uid="{471D6064-62DD-46CE-93DF-A1694ABBE4DE}" name="Sector"/>
    <tableColumn id="2" xr3:uid="{609F1EC4-84C2-4762-B1C1-B5BDB872E53F}" name="Year"/>
    <tableColumn id="3" xr3:uid="{53B46136-F0C0-42F3-8C8D-E78E1282CA4E}" name="Month"/>
    <tableColumn id="4" xr3:uid="{1D2C4EDB-58D4-4B66-A14D-77823F189536}" name="Cereals and products" dataDxfId="15"/>
    <tableColumn id="5" xr3:uid="{96E09265-F926-4F15-AA00-76A3CC49F1F6}" name="Meat and fish" dataDxfId="14"/>
    <tableColumn id="6" xr3:uid="{D24C3156-1498-4C6C-B5F9-9C5AB53933D3}" name="Egg" dataDxfId="13"/>
    <tableColumn id="7" xr3:uid="{8242BC9C-4983-49F2-AD70-28B1A4889966}" name="Milk and products" dataDxfId="12"/>
    <tableColumn id="8" xr3:uid="{AD8DF1B4-74AA-49EA-940B-18F5607D24BE}" name="Oils and fats" dataDxfId="11"/>
    <tableColumn id="9" xr3:uid="{B6E6C1A5-108E-44D9-A62B-F7C69E759F0A}" name="Fruits" dataDxfId="10"/>
    <tableColumn id="10" xr3:uid="{8021F5B3-7A07-49AB-BEEE-50FFB9AA4032}" name="Vegetables" dataDxfId="9"/>
    <tableColumn id="11" xr3:uid="{A42F8F38-6D56-462C-98EC-9FD7E5C26ABE}" name="Pulses and products" dataDxfId="8"/>
    <tableColumn id="12" xr3:uid="{BAE540C6-24FF-4DA4-A81E-A8E70F7ABFC0}" name="Sugar and Confectionery" dataDxfId="7"/>
    <tableColumn id="13" xr3:uid="{8C04F5CD-0652-4392-B822-CA9297AC8B2F}" name="Spices" dataDxfId="6"/>
    <tableColumn id="14" xr3:uid="{4D2DFFBA-4D68-4BB8-B7FB-39FBBC96A5DD}" name="Non-alcoholic beverages" dataDxfId="5"/>
    <tableColumn id="15" xr3:uid="{13BAD3BC-003A-45C2-BC53-269D6E4D8440}" name="Prepared meals, snacks, sweets etc." dataDxfId="4"/>
    <tableColumn id="16" xr3:uid="{BA892B74-69D5-48DC-953C-A2CCCEB22799}" name="Food and beverages" dataDxfId="3"/>
    <tableColumn id="17" xr3:uid="{3D601C9F-2271-4443-8566-E93E579CFCB0}" name="Food Bucket" dataDxfId="2"/>
    <tableColumn id="18" xr3:uid="{284442E6-D8AC-4FF9-8659-2F0AB2677849}" name="FOOD MOM" dataDxfId="1"/>
    <tableColumn id="19" xr3:uid="{4A39DCC5-0727-4BFB-B7D3-69F6011C6A50}" name="ABSOLUTE CHANGE %"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1171-B56D-4302-A48D-44F598FA1DF4}">
  <dimension ref="A1:EA373"/>
  <sheetViews>
    <sheetView workbookViewId="0">
      <selection activeCell="AE2" sqref="AE2"/>
    </sheetView>
  </sheetViews>
  <sheetFormatPr defaultRowHeight="15" x14ac:dyDescent="0.25"/>
  <cols>
    <col min="1" max="1" width="9.140625" bestFit="1" customWidth="1"/>
    <col min="2" max="2" width="7.28515625" bestFit="1" customWidth="1"/>
    <col min="3" max="3" width="9" bestFit="1" customWidth="1"/>
    <col min="4" max="4" width="22.7109375" bestFit="1" customWidth="1"/>
    <col min="5" max="5" width="15.42578125" bestFit="1" customWidth="1"/>
    <col min="6" max="6" width="6.42578125" bestFit="1" customWidth="1"/>
    <col min="7" max="7" width="19.28515625" bestFit="1" customWidth="1"/>
    <col min="8" max="8" width="14.42578125" bestFit="1" customWidth="1"/>
    <col min="9" max="9" width="8.42578125" bestFit="1" customWidth="1"/>
    <col min="10" max="10" width="13.28515625" bestFit="1" customWidth="1"/>
    <col min="11" max="11" width="21.7109375" bestFit="1" customWidth="1"/>
    <col min="12" max="12" width="25.85546875" bestFit="1" customWidth="1"/>
    <col min="13" max="13" width="9.28515625" bestFit="1" customWidth="1"/>
    <col min="14" max="14" width="26" bestFit="1" customWidth="1"/>
    <col min="15" max="15" width="36.5703125" bestFit="1" customWidth="1"/>
    <col min="16" max="16" width="21.42578125" bestFit="1" customWidth="1"/>
    <col min="17" max="17" width="29.42578125" bestFit="1" customWidth="1"/>
    <col min="18" max="18" width="11" bestFit="1" customWidth="1"/>
    <col min="19" max="19" width="11.5703125" bestFit="1" customWidth="1"/>
    <col min="20" max="20" width="23.42578125" bestFit="1" customWidth="1"/>
    <col min="21" max="21" width="10.7109375" bestFit="1" customWidth="1"/>
    <col min="22" max="22" width="15.42578125" bestFit="1" customWidth="1"/>
    <col min="23" max="23" width="31.28515625" bestFit="1" customWidth="1"/>
    <col min="24" max="24" width="9.28515625" bestFit="1" customWidth="1"/>
    <col min="25" max="25" width="30.5703125" bestFit="1" customWidth="1"/>
    <col min="26" max="26" width="28.5703125" bestFit="1" customWidth="1"/>
    <col min="27" max="27" width="12.28515625" bestFit="1" customWidth="1"/>
    <col min="28" max="28" width="26.42578125" bestFit="1" customWidth="1"/>
    <col min="29" max="29" width="16.42578125" bestFit="1" customWidth="1"/>
    <col min="30" max="30" width="14.28515625" bestFit="1" customWidth="1"/>
    <col min="31" max="31" width="20" bestFit="1" customWidth="1"/>
    <col min="32" max="32" width="17.42578125" bestFit="1" customWidth="1"/>
    <col min="33" max="33" width="16" bestFit="1" customWidth="1"/>
    <col min="34" max="34" width="17.28515625" bestFit="1" customWidth="1"/>
    <col min="35" max="35" width="16.85546875" customWidth="1"/>
    <col min="36" max="36" width="10.140625" customWidth="1"/>
    <col min="43" max="43" width="12.140625" bestFit="1" customWidth="1"/>
    <col min="44" max="44" width="7.140625" customWidth="1"/>
    <col min="45" max="45" width="10.28515625" bestFit="1" customWidth="1"/>
    <col min="46" max="46" width="22.28515625" customWidth="1"/>
    <col min="47" max="47" width="15.140625" customWidth="1"/>
    <col min="48" max="48" width="6.5703125" bestFit="1" customWidth="1"/>
    <col min="49" max="49" width="19" customWidth="1"/>
    <col min="50" max="50" width="14.28515625" customWidth="1"/>
    <col min="51" max="51" width="8.28515625" customWidth="1"/>
    <col min="52" max="52" width="13.140625" customWidth="1"/>
    <col min="53" max="53" width="21.28515625" customWidth="1"/>
    <col min="54" max="54" width="25.28515625" customWidth="1"/>
    <col min="55" max="55" width="9.140625" customWidth="1"/>
    <col min="56" max="56" width="25.42578125" customWidth="1"/>
    <col min="57" max="57" width="35.5703125" customWidth="1"/>
    <col min="58" max="58" width="21" customWidth="1"/>
    <col min="59" max="59" width="14.140625" customWidth="1"/>
    <col min="60" max="60" width="15.5703125" customWidth="1"/>
    <col min="61" max="61" width="24.140625" customWidth="1"/>
    <col min="68" max="68" width="14.5703125" customWidth="1"/>
    <col min="69" max="69" width="12.5703125" customWidth="1"/>
    <col min="70" max="70" width="13.5703125" customWidth="1"/>
    <col min="71" max="71" width="22.28515625" customWidth="1"/>
    <col min="72" max="72" width="15.140625" customWidth="1"/>
    <col min="73" max="73" width="13.28515625" customWidth="1"/>
    <col min="74" max="74" width="19" customWidth="1"/>
    <col min="75" max="75" width="14.28515625" customWidth="1"/>
    <col min="77" max="77" width="13.140625" customWidth="1"/>
    <col min="78" max="78" width="21.28515625" customWidth="1"/>
    <col min="79" max="79" width="25.28515625" customWidth="1"/>
    <col min="81" max="81" width="25.42578125" customWidth="1"/>
    <col min="82" max="82" width="35.5703125" customWidth="1"/>
    <col min="83" max="83" width="21" customWidth="1"/>
    <col min="84" max="84" width="28.7109375" customWidth="1"/>
    <col min="85" max="85" width="10.85546875" customWidth="1"/>
    <col min="86" max="86" width="11.42578125" customWidth="1"/>
    <col min="87" max="87" width="23" customWidth="1"/>
    <col min="88" max="88" width="15.28515625" customWidth="1"/>
    <col min="89" max="89" width="15.140625" customWidth="1"/>
    <col min="90" max="90" width="30.5703125" customWidth="1"/>
    <col min="92" max="92" width="29.85546875" customWidth="1"/>
    <col min="93" max="93" width="27.85546875" customWidth="1"/>
    <col min="94" max="94" width="12.140625" customWidth="1"/>
    <col min="95" max="95" width="25.85546875" customWidth="1"/>
    <col min="96" max="96" width="16.140625" customWidth="1"/>
    <col min="97" max="97" width="14.140625" customWidth="1"/>
    <col min="98" max="98" width="19.5703125" customWidth="1"/>
    <col min="99" max="99" width="17.140625" customWidth="1"/>
    <col min="100" max="100" width="15.7109375" customWidth="1"/>
    <col min="101" max="101" width="17" customWidth="1"/>
    <col min="102" max="102" width="15.7109375" customWidth="1"/>
    <col min="103" max="103" width="9.42578125" customWidth="1"/>
    <col min="104" max="104" width="10.7109375" customWidth="1"/>
    <col min="106" max="106" width="12.85546875" customWidth="1"/>
    <col min="107" max="107" width="15.28515625" customWidth="1"/>
    <col min="108" max="109" width="17.85546875" customWidth="1"/>
    <col min="110" max="110" width="17.28515625" customWidth="1"/>
    <col min="111" max="111" width="12.5703125" customWidth="1"/>
    <col min="112" max="112" width="11.28515625" customWidth="1"/>
    <col min="113" max="113" width="12.140625" customWidth="1"/>
    <col min="114" max="114" width="17" customWidth="1"/>
    <col min="116" max="116" width="13.140625" customWidth="1"/>
    <col min="117" max="117" width="14.42578125" customWidth="1"/>
    <col min="118" max="118" width="18.42578125" customWidth="1"/>
    <col min="119" max="119" width="19.7109375" customWidth="1"/>
    <col min="120" max="120" width="12.7109375" customWidth="1"/>
    <col min="121" max="121" width="11.85546875" customWidth="1"/>
    <col min="122" max="122" width="12.85546875" customWidth="1"/>
    <col min="123" max="123" width="13.28515625" customWidth="1"/>
    <col min="124" max="124" width="11.85546875" customWidth="1"/>
    <col min="126" max="126" width="19.42578125" customWidth="1"/>
    <col min="127" max="127" width="17.85546875" customWidth="1"/>
    <col min="128" max="128" width="14.7109375" customWidth="1"/>
    <col min="129" max="129" width="16.140625" customWidth="1"/>
    <col min="130" max="130" width="13" customWidth="1"/>
    <col min="131" max="131" width="12.5703125" customWidth="1"/>
  </cols>
  <sheetData>
    <row r="1" spans="1: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45</v>
      </c>
      <c r="AE1" t="s">
        <v>46</v>
      </c>
      <c r="AF1" t="s">
        <v>47</v>
      </c>
      <c r="AG1" t="s">
        <v>49</v>
      </c>
      <c r="AH1" t="s">
        <v>48</v>
      </c>
      <c r="AI1" t="s">
        <v>29</v>
      </c>
      <c r="AJ1" t="s">
        <v>50</v>
      </c>
      <c r="AN1" t="s">
        <v>1</v>
      </c>
      <c r="AQ1" t="s">
        <v>0</v>
      </c>
      <c r="AR1" t="s">
        <v>1</v>
      </c>
      <c r="AS1" t="s">
        <v>2</v>
      </c>
      <c r="AT1" t="s">
        <v>3</v>
      </c>
      <c r="AU1" t="s">
        <v>4</v>
      </c>
      <c r="AV1" t="s">
        <v>5</v>
      </c>
      <c r="AW1" t="s">
        <v>6</v>
      </c>
      <c r="AX1" t="s">
        <v>7</v>
      </c>
      <c r="AY1" t="s">
        <v>8</v>
      </c>
      <c r="AZ1" t="s">
        <v>9</v>
      </c>
      <c r="BA1" t="s">
        <v>10</v>
      </c>
      <c r="BB1" t="s">
        <v>11</v>
      </c>
      <c r="BC1" t="s">
        <v>12</v>
      </c>
      <c r="BD1" t="s">
        <v>13</v>
      </c>
      <c r="BE1" t="s">
        <v>14</v>
      </c>
      <c r="BF1" t="s">
        <v>15</v>
      </c>
      <c r="BG1" t="s">
        <v>45</v>
      </c>
      <c r="BH1" t="s">
        <v>112</v>
      </c>
      <c r="BI1" t="s">
        <v>113</v>
      </c>
      <c r="BL1" t="s">
        <v>1</v>
      </c>
      <c r="BO1" t="s">
        <v>0</v>
      </c>
      <c r="BP1" t="s">
        <v>1</v>
      </c>
      <c r="BQ1" t="s">
        <v>2</v>
      </c>
      <c r="BR1" t="s">
        <v>106</v>
      </c>
      <c r="BS1" t="s">
        <v>3</v>
      </c>
      <c r="BT1" t="s">
        <v>4</v>
      </c>
      <c r="BU1" t="s">
        <v>5</v>
      </c>
      <c r="BV1" t="s">
        <v>6</v>
      </c>
      <c r="BW1" t="s">
        <v>7</v>
      </c>
      <c r="BX1" t="s">
        <v>8</v>
      </c>
      <c r="BY1" t="s">
        <v>9</v>
      </c>
      <c r="BZ1" t="s">
        <v>10</v>
      </c>
      <c r="CA1" t="s">
        <v>11</v>
      </c>
      <c r="CB1" t="s">
        <v>12</v>
      </c>
      <c r="CC1" t="s">
        <v>13</v>
      </c>
      <c r="CD1" t="s">
        <v>14</v>
      </c>
      <c r="CE1" t="s">
        <v>15</v>
      </c>
      <c r="CF1" t="s">
        <v>16</v>
      </c>
      <c r="CG1" t="s">
        <v>17</v>
      </c>
      <c r="CH1" t="s">
        <v>18</v>
      </c>
      <c r="CI1" t="s">
        <v>19</v>
      </c>
      <c r="CJ1" t="s">
        <v>20</v>
      </c>
      <c r="CK1" t="s">
        <v>21</v>
      </c>
      <c r="CL1" t="s">
        <v>22</v>
      </c>
      <c r="CM1" t="s">
        <v>23</v>
      </c>
      <c r="CN1" t="s">
        <v>24</v>
      </c>
      <c r="CO1" t="s">
        <v>25</v>
      </c>
      <c r="CP1" t="s">
        <v>26</v>
      </c>
      <c r="CQ1" t="s">
        <v>27</v>
      </c>
      <c r="CR1" t="s">
        <v>28</v>
      </c>
      <c r="CS1" t="s">
        <v>45</v>
      </c>
      <c r="CT1" t="s">
        <v>46</v>
      </c>
      <c r="CU1" t="s">
        <v>47</v>
      </c>
      <c r="CV1" t="s">
        <v>49</v>
      </c>
      <c r="CW1" t="s">
        <v>48</v>
      </c>
      <c r="CX1" t="s">
        <v>29</v>
      </c>
      <c r="CY1" t="s">
        <v>50</v>
      </c>
      <c r="CZ1" t="s">
        <v>108</v>
      </c>
      <c r="DB1" s="12" t="s">
        <v>3</v>
      </c>
      <c r="DC1" s="12" t="s">
        <v>4</v>
      </c>
      <c r="DD1" s="12" t="s">
        <v>5</v>
      </c>
      <c r="DE1" s="12" t="s">
        <v>6</v>
      </c>
      <c r="DF1" s="12" t="s">
        <v>7</v>
      </c>
      <c r="DG1" s="12" t="s">
        <v>8</v>
      </c>
      <c r="DH1" s="12" t="s">
        <v>9</v>
      </c>
      <c r="DI1" s="12" t="s">
        <v>10</v>
      </c>
      <c r="DJ1" s="12" t="s">
        <v>11</v>
      </c>
      <c r="DK1" s="12" t="s">
        <v>12</v>
      </c>
      <c r="DL1" s="12" t="s">
        <v>13</v>
      </c>
      <c r="DM1" s="12" t="s">
        <v>14</v>
      </c>
      <c r="DN1" s="12" t="s">
        <v>15</v>
      </c>
      <c r="DO1" s="12" t="s">
        <v>16</v>
      </c>
      <c r="DP1" s="12" t="s">
        <v>17</v>
      </c>
      <c r="DQ1" s="12" t="s">
        <v>18</v>
      </c>
      <c r="DR1" s="12" t="s">
        <v>19</v>
      </c>
      <c r="DS1" s="12" t="s">
        <v>20</v>
      </c>
      <c r="DT1" s="12" t="s">
        <v>22</v>
      </c>
      <c r="DU1" s="12" t="s">
        <v>23</v>
      </c>
      <c r="DV1" s="12" t="s">
        <v>25</v>
      </c>
      <c r="DW1" s="12" t="s">
        <v>27</v>
      </c>
      <c r="DX1" s="12" t="s">
        <v>28</v>
      </c>
      <c r="DY1" s="12" t="s">
        <v>24</v>
      </c>
      <c r="DZ1" s="12" t="s">
        <v>26</v>
      </c>
      <c r="EA1" s="12" t="s">
        <v>21</v>
      </c>
    </row>
    <row r="2" spans="1:131" x14ac:dyDescent="0.25">
      <c r="A2" t="s">
        <v>30</v>
      </c>
      <c r="B2">
        <v>2013</v>
      </c>
      <c r="C2" t="s">
        <v>31</v>
      </c>
      <c r="D2" s="2">
        <v>108.2</v>
      </c>
      <c r="E2" s="2">
        <v>106.3</v>
      </c>
      <c r="F2" s="2">
        <v>108.1</v>
      </c>
      <c r="G2" s="2">
        <v>104.9</v>
      </c>
      <c r="H2" s="2">
        <v>106.1</v>
      </c>
      <c r="I2" s="2">
        <v>103.9</v>
      </c>
      <c r="J2" s="2">
        <v>101.9</v>
      </c>
      <c r="K2" s="2">
        <v>106.1</v>
      </c>
      <c r="L2" s="2">
        <v>106.8</v>
      </c>
      <c r="M2" s="2">
        <v>103.1</v>
      </c>
      <c r="N2" s="2">
        <v>104.8</v>
      </c>
      <c r="O2" s="2">
        <v>106.7</v>
      </c>
      <c r="P2" s="2">
        <v>105.5</v>
      </c>
      <c r="Q2" s="2">
        <v>105.1</v>
      </c>
      <c r="R2" s="2">
        <v>106.5</v>
      </c>
      <c r="S2" s="2">
        <v>105.8</v>
      </c>
      <c r="T2" s="2">
        <v>106.4</v>
      </c>
      <c r="U2" s="2">
        <v>0</v>
      </c>
      <c r="V2" s="2">
        <v>105.5</v>
      </c>
      <c r="W2" s="2">
        <v>104.8</v>
      </c>
      <c r="X2" s="2">
        <v>104</v>
      </c>
      <c r="Y2" s="2">
        <v>103.3</v>
      </c>
      <c r="Z2" s="2">
        <v>103.4</v>
      </c>
      <c r="AA2" s="2">
        <v>103.8</v>
      </c>
      <c r="AB2" s="2">
        <v>104.7</v>
      </c>
      <c r="AC2" s="2">
        <v>104</v>
      </c>
      <c r="AD2" s="2">
        <f>AVERAGE(All_India_Index_Upto_April23_CPI_data[[#This Row],[Cereals and products]:[Food and beverages]])</f>
        <v>105.56923076923076</v>
      </c>
      <c r="AE2" s="2">
        <f>AVERAGE(All_India_Index_Upto_April23_CPI_data[[#This Row],[Recreation and amusement]],All_India_Index_Upto_April23_CPI_data[[#This Row],[Pan, tobacco and intoxicants]])</f>
        <v>104.25</v>
      </c>
      <c r="AF2" s="2">
        <f>AVERAGE(All_India_Index_Upto_April23_CPI_data[[#This Row],[Household goods and services]],All_India_Index_Upto_April23_CPI_data[[#This Row],[Housing]])</f>
        <v>52.4</v>
      </c>
      <c r="AG2" s="2">
        <f>AVERAGE(All_India_Index_Upto_April23_CPI_data[[#This Row],[Personal care and effects]],All_India_Index_Upto_April23_CPI_data[[#This Row],[Health]])</f>
        <v>104.35</v>
      </c>
      <c r="AH2" s="2">
        <f>AVERAGE(All_India_Index_Upto_April23_CPI_data[[#This Row],[Clothing]:[Clothing and footwear]])</f>
        <v>106.23333333333335</v>
      </c>
      <c r="AI2" s="2">
        <v>105.1</v>
      </c>
      <c r="AJ2" s="1">
        <v>0</v>
      </c>
      <c r="AN2">
        <v>2022</v>
      </c>
      <c r="AQ2" t="s">
        <v>30</v>
      </c>
      <c r="AR2">
        <v>2022</v>
      </c>
      <c r="AS2" t="s">
        <v>37</v>
      </c>
      <c r="AT2" s="2">
        <v>152.9</v>
      </c>
      <c r="AU2" s="2">
        <v>214.7</v>
      </c>
      <c r="AV2" s="2">
        <v>161.4</v>
      </c>
      <c r="AW2" s="2">
        <v>164.6</v>
      </c>
      <c r="AX2" s="2">
        <v>209.9</v>
      </c>
      <c r="AY2" s="2">
        <v>168</v>
      </c>
      <c r="AZ2" s="2">
        <v>160.4</v>
      </c>
      <c r="BA2" s="2">
        <v>165</v>
      </c>
      <c r="BB2" s="2">
        <v>118.9</v>
      </c>
      <c r="BC2" s="2">
        <v>186.6</v>
      </c>
      <c r="BD2" s="2">
        <v>173.2</v>
      </c>
      <c r="BE2" s="2">
        <v>180.4</v>
      </c>
      <c r="BF2" s="2">
        <v>170.8</v>
      </c>
      <c r="BG2" s="2">
        <v>171.2923076923077</v>
      </c>
      <c r="BH2" s="2">
        <v>0</v>
      </c>
      <c r="BI2" s="1">
        <v>0</v>
      </c>
      <c r="BJ2" s="2"/>
      <c r="BK2" s="2"/>
      <c r="BL2">
        <v>2021</v>
      </c>
      <c r="BM2" s="2"/>
      <c r="BN2" s="2"/>
      <c r="BO2" t="s">
        <v>30</v>
      </c>
      <c r="BP2">
        <v>2021</v>
      </c>
      <c r="BQ2" t="s">
        <v>31</v>
      </c>
      <c r="BR2" s="11">
        <f>DATE(BP2,MONTH(DATEVALUE("1 "&amp;BQ2)),1)</f>
        <v>44197</v>
      </c>
      <c r="BS2" s="2">
        <v>143.4</v>
      </c>
      <c r="BT2" s="2">
        <v>187.5</v>
      </c>
      <c r="BU2" s="2">
        <v>173.4</v>
      </c>
      <c r="BV2" s="2">
        <v>154</v>
      </c>
      <c r="BW2" s="2">
        <v>154.80000000000001</v>
      </c>
      <c r="BX2" s="2">
        <v>147</v>
      </c>
      <c r="BY2" s="2">
        <v>187.8</v>
      </c>
      <c r="BZ2" s="2">
        <v>159.5</v>
      </c>
      <c r="CA2" s="2">
        <v>113.8</v>
      </c>
      <c r="CB2" s="2">
        <v>164.5</v>
      </c>
      <c r="CC2" s="2">
        <v>156.1</v>
      </c>
      <c r="CD2" s="2">
        <v>164.3</v>
      </c>
      <c r="CE2" s="2">
        <v>159.6</v>
      </c>
      <c r="CF2" s="2">
        <v>184.6</v>
      </c>
      <c r="CG2" s="2">
        <v>157.5</v>
      </c>
      <c r="CH2" s="2">
        <v>152.4</v>
      </c>
      <c r="CI2" s="2">
        <v>156.80000000000001</v>
      </c>
      <c r="CJ2" s="2">
        <v>0</v>
      </c>
      <c r="CK2" s="2">
        <v>150.9</v>
      </c>
      <c r="CL2" s="2">
        <v>153.9</v>
      </c>
      <c r="CM2" s="2">
        <v>162.5</v>
      </c>
      <c r="CN2" s="2">
        <v>147.5</v>
      </c>
      <c r="CO2" s="2">
        <v>155.1</v>
      </c>
      <c r="CP2" s="2">
        <v>163.5</v>
      </c>
      <c r="CQ2" s="2">
        <v>156.19999999999999</v>
      </c>
      <c r="CR2" s="2">
        <v>155.9</v>
      </c>
      <c r="CS2" s="2">
        <v>158.89999999999998</v>
      </c>
      <c r="CT2" s="2">
        <v>169.85</v>
      </c>
      <c r="CU2" s="2">
        <v>76.95</v>
      </c>
      <c r="CV2" s="2">
        <v>159.35</v>
      </c>
      <c r="CW2" s="2">
        <v>155.56666666666666</v>
      </c>
      <c r="CX2" s="2">
        <v>158.5</v>
      </c>
      <c r="CY2" s="1">
        <v>-1.3690105787181012E-2</v>
      </c>
      <c r="CZ2">
        <f>VLOOKUP(BR2,'OIL PRICE'!$A$1:$B$27,2,0)</f>
        <v>54.79</v>
      </c>
      <c r="DB2">
        <f>CORREL(Table2[Oil Price],Table2[Cereals and products])</f>
        <v>0.3727274885064753</v>
      </c>
      <c r="DC2" s="13">
        <f>CORREL(Table2[Oil Price],Table2[Meat and fish])</f>
        <v>0.77941794023146604</v>
      </c>
      <c r="DD2">
        <f>CORREL(Table2[Oil Price],Table2[Egg])</f>
        <v>-0.19565754489360201</v>
      </c>
      <c r="DE2">
        <f>CORREL(Table2[Oil Price],Table2[Milk and products])</f>
        <v>0.50622757235315985</v>
      </c>
      <c r="DF2" s="13">
        <f>CORREL(Table2[Oil Price],Table2[Oils and fats])</f>
        <v>0.70587202496960255</v>
      </c>
      <c r="DG2">
        <f>CORREL(Table2[Oil Price],Table2[Fruits])</f>
        <v>0.52591638344514235</v>
      </c>
      <c r="DH2">
        <f>CORREL(Table2[Oil Price],Table2[Vegetables])</f>
        <v>0.2656144057502593</v>
      </c>
      <c r="DI2">
        <f>CORREL(Table2[Oil Price],Table2[Pulses and products])</f>
        <v>0.27579655749997184</v>
      </c>
      <c r="DJ2">
        <f>CORREL(Table2[Oil Price],Table2[Sugar and Confectionery])</f>
        <v>0.5454346676805607</v>
      </c>
      <c r="DK2">
        <f>CORREL(Table2[Oil Price],Table2[Spices])</f>
        <v>0.47271897781112676</v>
      </c>
      <c r="DL2">
        <f>CORREL(Table2[Oil Price],Table2[Non-alcoholic beverages])</f>
        <v>0.46253988861507206</v>
      </c>
      <c r="DM2" s="13">
        <f>CORREL(Table2[Oil Price],Table2[Prepared meals, snacks, sweets etc.])</f>
        <v>0.60292677107894499</v>
      </c>
      <c r="DN2" s="13">
        <f>CORREL(Table2[Oil Price],Table2[Food and beverages])</f>
        <v>0.63405112159006727</v>
      </c>
      <c r="DO2">
        <f>CORREL(Table2[Oil Price],Table2[Pan, tobacco and intoxicants])</f>
        <v>0.4259432598535946</v>
      </c>
      <c r="DP2" s="13">
        <f>CORREL(Table2[Oil Price],Table2[Clothing])</f>
        <v>0.60103704809939218</v>
      </c>
      <c r="DQ2">
        <f>CORREL(Table2[Oil Price],Table2[Footwear])</f>
        <v>0.51937145345298041</v>
      </c>
      <c r="DR2">
        <f>CORREL(Table2[Oil Price],Table2[Clothing and footwear])</f>
        <v>0.58895942504894283</v>
      </c>
      <c r="DS2">
        <f>CORREL(Table2[Oil Price],Table2[Housing])</f>
        <v>2.1569988359029513E-2</v>
      </c>
      <c r="DT2">
        <f>CORREL(Table2[Oil Price],Table2[Household goods and services])</f>
        <v>0.57461437723074282</v>
      </c>
      <c r="DU2">
        <f>CORREL(Table2[Oil Price],Table2[Health])</f>
        <v>0.56217660137444714</v>
      </c>
      <c r="DV2" s="13">
        <f>CORREL(Table2[Oil Price],Table2[Recreation and amusement])</f>
        <v>0.63951952299838877</v>
      </c>
      <c r="DW2">
        <f>CORREL(Table2[Oil Price],Table2[Personal care and effects])</f>
        <v>0.57879307790969448</v>
      </c>
      <c r="DX2" s="13">
        <f>CORREL(Table2[Oil Price],Table2[Miscellaneous])</f>
        <v>0.60247885339341178</v>
      </c>
      <c r="DY2" s="13">
        <f>CORREL(Table2[Transport and communication],Table2[Oil Price])</f>
        <v>0.6710230357030641</v>
      </c>
      <c r="DZ2">
        <f>CORREL(Table2[Oil Price],Table2[Education])</f>
        <v>0.49168151185224745</v>
      </c>
      <c r="EA2" s="13">
        <f>CORREL(Table2[Oil Price],Table2[Fuel and light])</f>
        <v>0.65882630839103407</v>
      </c>
    </row>
    <row r="3" spans="1:131" x14ac:dyDescent="0.25">
      <c r="A3" t="s">
        <v>32</v>
      </c>
      <c r="B3">
        <v>2013</v>
      </c>
      <c r="C3" t="s">
        <v>31</v>
      </c>
      <c r="D3" s="2">
        <v>110.5</v>
      </c>
      <c r="E3" s="2">
        <v>109.1</v>
      </c>
      <c r="F3" s="2">
        <v>113</v>
      </c>
      <c r="G3" s="2">
        <v>103.6</v>
      </c>
      <c r="H3" s="2">
        <v>103.4</v>
      </c>
      <c r="I3" s="2">
        <v>102.3</v>
      </c>
      <c r="J3" s="2">
        <v>102.9</v>
      </c>
      <c r="K3" s="2">
        <v>105.8</v>
      </c>
      <c r="L3" s="2">
        <v>105.1</v>
      </c>
      <c r="M3" s="2">
        <v>101.8</v>
      </c>
      <c r="N3" s="2">
        <v>105.1</v>
      </c>
      <c r="O3" s="2">
        <v>107.9</v>
      </c>
      <c r="P3" s="2">
        <v>105.9</v>
      </c>
      <c r="Q3" s="2">
        <v>105.2</v>
      </c>
      <c r="R3" s="2">
        <v>105.9</v>
      </c>
      <c r="S3" s="2">
        <v>105</v>
      </c>
      <c r="T3" s="2">
        <v>105.8</v>
      </c>
      <c r="U3" s="2">
        <v>100.3</v>
      </c>
      <c r="V3" s="2">
        <v>105.4</v>
      </c>
      <c r="W3" s="2">
        <v>104.8</v>
      </c>
      <c r="X3" s="2">
        <v>104.1</v>
      </c>
      <c r="Y3" s="2">
        <v>103.2</v>
      </c>
      <c r="Z3" s="2">
        <v>102.9</v>
      </c>
      <c r="AA3" s="2">
        <v>103.5</v>
      </c>
      <c r="AB3" s="2">
        <v>104.3</v>
      </c>
      <c r="AC3" s="2">
        <v>103.7</v>
      </c>
      <c r="AD3" s="2">
        <f>AVERAGE(All_India_Index_Upto_April23_CPI_data[[#This Row],[Cereals and products]:[Food and beverages]])</f>
        <v>105.87692307692308</v>
      </c>
      <c r="AE3" s="2">
        <f>AVERAGE(All_India_Index_Upto_April23_CPI_data[[#This Row],[Recreation and amusement]],All_India_Index_Upto_April23_CPI_data[[#This Row],[Pan, tobacco and intoxicants]])</f>
        <v>104.05000000000001</v>
      </c>
      <c r="AF3" s="2">
        <f>AVERAGE(All_India_Index_Upto_April23_CPI_data[[#This Row],[Household goods and services]],All_India_Index_Upto_April23_CPI_data[[#This Row],[Housing]])</f>
        <v>102.55</v>
      </c>
      <c r="AG3" s="2">
        <f>AVERAGE(All_India_Index_Upto_April23_CPI_data[[#This Row],[Personal care and effects]],All_India_Index_Upto_April23_CPI_data[[#This Row],[Health]])</f>
        <v>104.19999999999999</v>
      </c>
      <c r="AH3" s="2">
        <f>AVERAGE(All_India_Index_Upto_April23_CPI_data[[#This Row],[Clothing]:[Clothing and footwear]])</f>
        <v>105.56666666666666</v>
      </c>
      <c r="AI3" s="2">
        <v>104</v>
      </c>
      <c r="AJ3" s="1">
        <v>0</v>
      </c>
      <c r="AN3">
        <v>2023</v>
      </c>
      <c r="AQ3" t="s">
        <v>32</v>
      </c>
      <c r="AR3">
        <v>2022</v>
      </c>
      <c r="AS3" t="s">
        <v>37</v>
      </c>
      <c r="AT3" s="2">
        <v>156.69999999999999</v>
      </c>
      <c r="AU3" s="2">
        <v>221.2</v>
      </c>
      <c r="AV3" s="2">
        <v>164.1</v>
      </c>
      <c r="AW3" s="2">
        <v>165.4</v>
      </c>
      <c r="AX3" s="2">
        <v>189.5</v>
      </c>
      <c r="AY3" s="2">
        <v>174.5</v>
      </c>
      <c r="AZ3" s="2">
        <v>203.2</v>
      </c>
      <c r="BA3" s="2">
        <v>164.1</v>
      </c>
      <c r="BB3" s="2">
        <v>121.2</v>
      </c>
      <c r="BC3" s="2">
        <v>181.4</v>
      </c>
      <c r="BD3" s="2">
        <v>158.5</v>
      </c>
      <c r="BE3" s="2">
        <v>184.9</v>
      </c>
      <c r="BF3" s="2">
        <v>177.5</v>
      </c>
      <c r="BG3" s="2">
        <v>174.01538461538465</v>
      </c>
      <c r="BH3" s="2">
        <v>0</v>
      </c>
      <c r="BI3" s="1">
        <v>0</v>
      </c>
      <c r="BJ3" s="2"/>
      <c r="BK3" s="2"/>
      <c r="BL3">
        <v>2022</v>
      </c>
      <c r="BM3" s="2"/>
      <c r="BN3" s="2"/>
      <c r="BO3" t="s">
        <v>32</v>
      </c>
      <c r="BP3">
        <v>2021</v>
      </c>
      <c r="BQ3" t="s">
        <v>31</v>
      </c>
      <c r="BR3" s="11">
        <f t="shared" ref="BR3:BR66" si="0">DATE(BP3,MONTH(DATEVALUE("1 "&amp;BQ3)),1)</f>
        <v>44197</v>
      </c>
      <c r="BS3" s="2">
        <v>148</v>
      </c>
      <c r="BT3" s="2">
        <v>194.8</v>
      </c>
      <c r="BU3" s="2">
        <v>178.4</v>
      </c>
      <c r="BV3" s="2">
        <v>154.4</v>
      </c>
      <c r="BW3" s="2">
        <v>144.1</v>
      </c>
      <c r="BX3" s="2">
        <v>152.6</v>
      </c>
      <c r="BY3" s="2">
        <v>206.8</v>
      </c>
      <c r="BZ3" s="2">
        <v>162.1</v>
      </c>
      <c r="CA3" s="2">
        <v>116.3</v>
      </c>
      <c r="CB3" s="2">
        <v>163</v>
      </c>
      <c r="CC3" s="2">
        <v>145.9</v>
      </c>
      <c r="CD3" s="2">
        <v>167.2</v>
      </c>
      <c r="CE3" s="2">
        <v>163.4</v>
      </c>
      <c r="CF3" s="2">
        <v>191.8</v>
      </c>
      <c r="CG3" s="2">
        <v>152.5</v>
      </c>
      <c r="CH3" s="2">
        <v>137.30000000000001</v>
      </c>
      <c r="CI3" s="2">
        <v>150.19999999999999</v>
      </c>
      <c r="CJ3" s="2">
        <v>157.69999999999999</v>
      </c>
      <c r="CK3" s="2">
        <v>142.9</v>
      </c>
      <c r="CL3" s="2">
        <v>145.69999999999999</v>
      </c>
      <c r="CM3" s="2">
        <v>154.1</v>
      </c>
      <c r="CN3" s="2">
        <v>136.9</v>
      </c>
      <c r="CO3" s="2">
        <v>145.4</v>
      </c>
      <c r="CP3" s="2">
        <v>156.1</v>
      </c>
      <c r="CQ3" s="2">
        <v>157.69999999999999</v>
      </c>
      <c r="CR3" s="2">
        <v>147.6</v>
      </c>
      <c r="CS3" s="2">
        <v>161.30769230769232</v>
      </c>
      <c r="CT3" s="2">
        <v>168.60000000000002</v>
      </c>
      <c r="CU3" s="2">
        <v>151.69999999999999</v>
      </c>
      <c r="CV3" s="2">
        <v>155.89999999999998</v>
      </c>
      <c r="CW3" s="2">
        <v>146.66666666666666</v>
      </c>
      <c r="CX3" s="2">
        <v>156</v>
      </c>
      <c r="CY3" s="1">
        <v>-5.7361376673040511E-3</v>
      </c>
      <c r="CZ3">
        <f>VLOOKUP(BR3,'OIL PRICE'!$A$1:$B$27,2,0)</f>
        <v>54.79</v>
      </c>
    </row>
    <row r="4" spans="1:131" x14ac:dyDescent="0.25">
      <c r="A4" t="s">
        <v>33</v>
      </c>
      <c r="B4">
        <v>2013</v>
      </c>
      <c r="C4" t="s">
        <v>31</v>
      </c>
      <c r="D4" s="2">
        <v>108.4</v>
      </c>
      <c r="E4" s="2">
        <v>107.3</v>
      </c>
      <c r="F4" s="2">
        <v>110</v>
      </c>
      <c r="G4" s="2">
        <v>104.4</v>
      </c>
      <c r="H4" s="2">
        <v>105.1</v>
      </c>
      <c r="I4" s="2">
        <v>103.2</v>
      </c>
      <c r="J4" s="2">
        <v>102.2</v>
      </c>
      <c r="K4" s="2">
        <v>106</v>
      </c>
      <c r="L4" s="2">
        <v>106.2</v>
      </c>
      <c r="M4" s="2">
        <v>102.7</v>
      </c>
      <c r="N4" s="2">
        <v>104.9</v>
      </c>
      <c r="O4" s="2">
        <v>107.3</v>
      </c>
      <c r="P4" s="2">
        <v>105.6</v>
      </c>
      <c r="Q4" s="2">
        <v>105.1</v>
      </c>
      <c r="R4" s="2">
        <v>106.3</v>
      </c>
      <c r="S4" s="2">
        <v>105.5</v>
      </c>
      <c r="T4" s="2">
        <v>106.2</v>
      </c>
      <c r="U4" s="2">
        <v>100.3</v>
      </c>
      <c r="V4" s="2">
        <v>105.5</v>
      </c>
      <c r="W4" s="2">
        <v>104.8</v>
      </c>
      <c r="X4" s="2">
        <v>104</v>
      </c>
      <c r="Y4" s="2">
        <v>103.2</v>
      </c>
      <c r="Z4" s="2">
        <v>103.1</v>
      </c>
      <c r="AA4" s="2">
        <v>103.6</v>
      </c>
      <c r="AB4" s="2">
        <v>104.5</v>
      </c>
      <c r="AC4" s="2">
        <v>103.9</v>
      </c>
      <c r="AD4" s="2">
        <f>AVERAGE(All_India_Index_Upto_April23_CPI_data[[#This Row],[Cereals and products]:[Food and beverages]])</f>
        <v>105.63846153846156</v>
      </c>
      <c r="AE4" s="2">
        <f>AVERAGE(All_India_Index_Upto_April23_CPI_data[[#This Row],[Recreation and amusement]],All_India_Index_Upto_April23_CPI_data[[#This Row],[Pan, tobacco and intoxicants]])</f>
        <v>104.1</v>
      </c>
      <c r="AF4" s="2">
        <f>AVERAGE(All_India_Index_Upto_April23_CPI_data[[#This Row],[Household goods and services]],All_India_Index_Upto_April23_CPI_data[[#This Row],[Housing]])</f>
        <v>102.55</v>
      </c>
      <c r="AG4" s="2">
        <f>AVERAGE(All_India_Index_Upto_April23_CPI_data[[#This Row],[Personal care and effects]],All_India_Index_Upto_April23_CPI_data[[#This Row],[Health]])</f>
        <v>104.25</v>
      </c>
      <c r="AH4" s="2">
        <f>AVERAGE(All_India_Index_Upto_April23_CPI_data[[#This Row],[Clothing]:[Clothing and footwear]])</f>
        <v>106</v>
      </c>
      <c r="AI4" s="2">
        <v>104.6</v>
      </c>
      <c r="AJ4" s="1">
        <v>0</v>
      </c>
      <c r="AQ4" t="s">
        <v>33</v>
      </c>
      <c r="AR4">
        <v>2022</v>
      </c>
      <c r="AS4" t="s">
        <v>37</v>
      </c>
      <c r="AT4" s="2">
        <v>154.1</v>
      </c>
      <c r="AU4" s="2">
        <v>217</v>
      </c>
      <c r="AV4" s="2">
        <v>162.4</v>
      </c>
      <c r="AW4" s="2">
        <v>164.9</v>
      </c>
      <c r="AX4" s="2">
        <v>202.4</v>
      </c>
      <c r="AY4" s="2">
        <v>171</v>
      </c>
      <c r="AZ4" s="2">
        <v>174.9</v>
      </c>
      <c r="BA4" s="2">
        <v>164.7</v>
      </c>
      <c r="BB4" s="2">
        <v>119.7</v>
      </c>
      <c r="BC4" s="2">
        <v>184.9</v>
      </c>
      <c r="BD4" s="2">
        <v>167.1</v>
      </c>
      <c r="BE4" s="2">
        <v>182.5</v>
      </c>
      <c r="BF4" s="2">
        <v>173.3</v>
      </c>
      <c r="BG4" s="2">
        <v>172.22307692307697</v>
      </c>
      <c r="BH4" s="2">
        <v>0</v>
      </c>
      <c r="BI4" s="1">
        <v>0</v>
      </c>
      <c r="BJ4" s="2"/>
      <c r="BK4" s="2"/>
      <c r="BL4">
        <v>2023</v>
      </c>
      <c r="BM4" s="2"/>
      <c r="BN4" s="2"/>
      <c r="BO4" t="s">
        <v>33</v>
      </c>
      <c r="BP4">
        <v>2021</v>
      </c>
      <c r="BQ4" t="s">
        <v>31</v>
      </c>
      <c r="BR4" s="11">
        <f t="shared" si="0"/>
        <v>44197</v>
      </c>
      <c r="BS4" s="2">
        <v>144.9</v>
      </c>
      <c r="BT4" s="2">
        <v>190.1</v>
      </c>
      <c r="BU4" s="2">
        <v>175.3</v>
      </c>
      <c r="BV4" s="2">
        <v>154.1</v>
      </c>
      <c r="BW4" s="2">
        <v>150.9</v>
      </c>
      <c r="BX4" s="2">
        <v>149.6</v>
      </c>
      <c r="BY4" s="2">
        <v>194.2</v>
      </c>
      <c r="BZ4" s="2">
        <v>160.4</v>
      </c>
      <c r="CA4" s="2">
        <v>114.6</v>
      </c>
      <c r="CB4" s="2">
        <v>164</v>
      </c>
      <c r="CC4" s="2">
        <v>151.80000000000001</v>
      </c>
      <c r="CD4" s="2">
        <v>165.6</v>
      </c>
      <c r="CE4" s="2">
        <v>161</v>
      </c>
      <c r="CF4" s="2">
        <v>186.5</v>
      </c>
      <c r="CG4" s="2">
        <v>155.5</v>
      </c>
      <c r="CH4" s="2">
        <v>146.1</v>
      </c>
      <c r="CI4" s="2">
        <v>154.19999999999999</v>
      </c>
      <c r="CJ4" s="2">
        <v>157.69999999999999</v>
      </c>
      <c r="CK4" s="2">
        <v>147.9</v>
      </c>
      <c r="CL4" s="2">
        <v>150</v>
      </c>
      <c r="CM4" s="2">
        <v>159.30000000000001</v>
      </c>
      <c r="CN4" s="2">
        <v>141.9</v>
      </c>
      <c r="CO4" s="2">
        <v>149.6</v>
      </c>
      <c r="CP4" s="2">
        <v>159.19999999999999</v>
      </c>
      <c r="CQ4" s="2">
        <v>156.80000000000001</v>
      </c>
      <c r="CR4" s="2">
        <v>151.9</v>
      </c>
      <c r="CS4" s="2">
        <v>159.73076923076923</v>
      </c>
      <c r="CT4" s="2">
        <v>168.05</v>
      </c>
      <c r="CU4" s="2">
        <v>153.85</v>
      </c>
      <c r="CV4" s="2">
        <v>158.05000000000001</v>
      </c>
      <c r="CW4" s="2">
        <v>151.93333333333334</v>
      </c>
      <c r="CX4" s="2">
        <v>157.30000000000001</v>
      </c>
      <c r="CY4" s="1">
        <v>-1.006922592825673E-2</v>
      </c>
      <c r="CZ4">
        <f>VLOOKUP(BR4,'OIL PRICE'!$A$1:$B$27,2,0)</f>
        <v>54.79</v>
      </c>
    </row>
    <row r="5" spans="1:131" x14ac:dyDescent="0.25">
      <c r="A5" t="s">
        <v>30</v>
      </c>
      <c r="B5">
        <v>2013</v>
      </c>
      <c r="C5" t="s">
        <v>34</v>
      </c>
      <c r="D5" s="2">
        <v>109.2</v>
      </c>
      <c r="E5" s="2">
        <v>108.7</v>
      </c>
      <c r="F5" s="2">
        <v>110.2</v>
      </c>
      <c r="G5" s="2">
        <v>105.4</v>
      </c>
      <c r="H5" s="2">
        <v>106.7</v>
      </c>
      <c r="I5" s="2">
        <v>104</v>
      </c>
      <c r="J5" s="2">
        <v>102.4</v>
      </c>
      <c r="K5" s="2">
        <v>105.9</v>
      </c>
      <c r="L5" s="2">
        <v>105.7</v>
      </c>
      <c r="M5" s="2">
        <v>103.1</v>
      </c>
      <c r="N5" s="2">
        <v>105.1</v>
      </c>
      <c r="O5" s="2">
        <v>107.7</v>
      </c>
      <c r="P5" s="2">
        <v>106.3</v>
      </c>
      <c r="Q5" s="2">
        <v>105.6</v>
      </c>
      <c r="R5" s="2">
        <v>107.1</v>
      </c>
      <c r="S5" s="2">
        <v>106.3</v>
      </c>
      <c r="T5" s="2">
        <v>107</v>
      </c>
      <c r="U5" s="2">
        <v>0</v>
      </c>
      <c r="V5" s="2">
        <v>106.2</v>
      </c>
      <c r="W5" s="2">
        <v>105.2</v>
      </c>
      <c r="X5" s="2">
        <v>104.4</v>
      </c>
      <c r="Y5" s="2">
        <v>103.9</v>
      </c>
      <c r="Z5" s="2">
        <v>104</v>
      </c>
      <c r="AA5" s="2">
        <v>104.1</v>
      </c>
      <c r="AB5" s="2">
        <v>104.6</v>
      </c>
      <c r="AC5" s="2">
        <v>104.4</v>
      </c>
      <c r="AD5" s="2">
        <f>AVERAGE(All_India_Index_Upto_April23_CPI_data[[#This Row],[Cereals and products]:[Food and beverages]])</f>
        <v>106.18461538461537</v>
      </c>
      <c r="AE5" s="2">
        <f>AVERAGE(All_India_Index_Upto_April23_CPI_data[[#This Row],[Recreation and amusement]],All_India_Index_Upto_April23_CPI_data[[#This Row],[Pan, tobacco and intoxicants]])</f>
        <v>104.8</v>
      </c>
      <c r="AF5" s="2">
        <f>AVERAGE(All_India_Index_Upto_April23_CPI_data[[#This Row],[Household goods and services]],All_India_Index_Upto_April23_CPI_data[[#This Row],[Housing]])</f>
        <v>52.6</v>
      </c>
      <c r="AG5" s="2">
        <f>AVERAGE(All_India_Index_Upto_April23_CPI_data[[#This Row],[Personal care and effects]],All_India_Index_Upto_April23_CPI_data[[#This Row],[Health]])</f>
        <v>104.5</v>
      </c>
      <c r="AH5" s="2">
        <f>AVERAGE(All_India_Index_Upto_April23_CPI_data[[#This Row],[Clothing]:[Clothing and footwear]])</f>
        <v>106.8</v>
      </c>
      <c r="AI5" s="2">
        <v>105.8</v>
      </c>
      <c r="AJ5" s="1">
        <f>(All_India_Index_Upto_April23_CPI_data[[#This Row],[General index]]-AI2)/AI2</f>
        <v>6.6603235014272393E-3</v>
      </c>
      <c r="AQ5" t="s">
        <v>30</v>
      </c>
      <c r="AR5">
        <v>2022</v>
      </c>
      <c r="AS5" t="s">
        <v>38</v>
      </c>
      <c r="AT5" s="2">
        <v>153.80000000000001</v>
      </c>
      <c r="AU5" s="2">
        <v>217.2</v>
      </c>
      <c r="AV5" s="2">
        <v>169.6</v>
      </c>
      <c r="AW5" s="2">
        <v>165.4</v>
      </c>
      <c r="AX5" s="2">
        <v>208.1</v>
      </c>
      <c r="AY5" s="2">
        <v>165.8</v>
      </c>
      <c r="AZ5" s="2">
        <v>167.3</v>
      </c>
      <c r="BA5" s="2">
        <v>164.6</v>
      </c>
      <c r="BB5" s="2">
        <v>119.1</v>
      </c>
      <c r="BC5" s="2">
        <v>188.9</v>
      </c>
      <c r="BD5" s="2">
        <v>174.2</v>
      </c>
      <c r="BE5" s="2">
        <v>181.9</v>
      </c>
      <c r="BF5" s="2">
        <v>172.4</v>
      </c>
      <c r="BG5" s="2">
        <v>172.94615384615386</v>
      </c>
      <c r="BH5" s="2">
        <f>BG5-BG2</f>
        <v>1.6538461538461604</v>
      </c>
      <c r="BI5" s="1">
        <f>BH5/BG2</f>
        <v>9.6551104724268387E-3</v>
      </c>
      <c r="BJ5" s="2"/>
      <c r="BK5" s="2"/>
      <c r="BL5" s="2"/>
      <c r="BM5" s="2"/>
      <c r="BN5" s="2"/>
      <c r="BO5" t="s">
        <v>30</v>
      </c>
      <c r="BP5">
        <v>2021</v>
      </c>
      <c r="BQ5" t="s">
        <v>34</v>
      </c>
      <c r="BR5" s="11">
        <f t="shared" si="0"/>
        <v>44228</v>
      </c>
      <c r="BS5" s="2">
        <v>142.80000000000001</v>
      </c>
      <c r="BT5" s="2">
        <v>184</v>
      </c>
      <c r="BU5" s="2">
        <v>168</v>
      </c>
      <c r="BV5" s="2">
        <v>154.4</v>
      </c>
      <c r="BW5" s="2">
        <v>163</v>
      </c>
      <c r="BX5" s="2">
        <v>147.80000000000001</v>
      </c>
      <c r="BY5" s="2">
        <v>149.69999999999999</v>
      </c>
      <c r="BZ5" s="2">
        <v>158.30000000000001</v>
      </c>
      <c r="CA5" s="2">
        <v>111.8</v>
      </c>
      <c r="CB5" s="2">
        <v>165</v>
      </c>
      <c r="CC5" s="2">
        <v>160</v>
      </c>
      <c r="CD5" s="2">
        <v>165.8</v>
      </c>
      <c r="CE5" s="2">
        <v>154.69999999999999</v>
      </c>
      <c r="CF5" s="2">
        <v>186.5</v>
      </c>
      <c r="CG5" s="2">
        <v>159.1</v>
      </c>
      <c r="CH5" s="2">
        <v>153.9</v>
      </c>
      <c r="CI5" s="2">
        <v>158.4</v>
      </c>
      <c r="CJ5" s="2">
        <v>0</v>
      </c>
      <c r="CK5" s="2">
        <v>154.4</v>
      </c>
      <c r="CL5" s="2">
        <v>154.80000000000001</v>
      </c>
      <c r="CM5" s="2">
        <v>164.3</v>
      </c>
      <c r="CN5" s="2">
        <v>150.19999999999999</v>
      </c>
      <c r="CO5" s="2">
        <v>157</v>
      </c>
      <c r="CP5" s="2">
        <v>163.6</v>
      </c>
      <c r="CQ5" s="2">
        <v>155.19999999999999</v>
      </c>
      <c r="CR5" s="2">
        <v>157.19999999999999</v>
      </c>
      <c r="CS5" s="2">
        <v>155.7923076923077</v>
      </c>
      <c r="CT5" s="2">
        <v>171.75</v>
      </c>
      <c r="CU5" s="2">
        <v>77.400000000000006</v>
      </c>
      <c r="CV5" s="2">
        <v>159.75</v>
      </c>
      <c r="CW5" s="2">
        <v>157.13333333333333</v>
      </c>
      <c r="CX5" s="2">
        <v>156.69999999999999</v>
      </c>
      <c r="CY5" s="1">
        <v>-1.135646687697168E-2</v>
      </c>
      <c r="CZ5">
        <f>VLOOKUP(BR5,'OIL PRICE'!$A$1:$B$27,2,0)</f>
        <v>61.22</v>
      </c>
    </row>
    <row r="6" spans="1:131" x14ac:dyDescent="0.25">
      <c r="A6" t="s">
        <v>32</v>
      </c>
      <c r="B6">
        <v>2013</v>
      </c>
      <c r="C6" t="s">
        <v>34</v>
      </c>
      <c r="D6" s="2">
        <v>112.9</v>
      </c>
      <c r="E6" s="2">
        <v>112.9</v>
      </c>
      <c r="F6" s="2">
        <v>116.9</v>
      </c>
      <c r="G6" s="2">
        <v>104</v>
      </c>
      <c r="H6" s="2">
        <v>103.5</v>
      </c>
      <c r="I6" s="2">
        <v>103.1</v>
      </c>
      <c r="J6" s="2">
        <v>104.9</v>
      </c>
      <c r="K6" s="2">
        <v>104.1</v>
      </c>
      <c r="L6" s="2">
        <v>103.8</v>
      </c>
      <c r="M6" s="2">
        <v>102.3</v>
      </c>
      <c r="N6" s="2">
        <v>106</v>
      </c>
      <c r="O6" s="2">
        <v>109</v>
      </c>
      <c r="P6" s="2">
        <v>107.2</v>
      </c>
      <c r="Q6" s="2">
        <v>106</v>
      </c>
      <c r="R6" s="2">
        <v>106.6</v>
      </c>
      <c r="S6" s="2">
        <v>105.5</v>
      </c>
      <c r="T6" s="2">
        <v>106.4</v>
      </c>
      <c r="U6" s="2">
        <v>100.4</v>
      </c>
      <c r="V6" s="2">
        <v>105.7</v>
      </c>
      <c r="W6" s="2">
        <v>105.2</v>
      </c>
      <c r="X6" s="2">
        <v>104.7</v>
      </c>
      <c r="Y6" s="2">
        <v>104.4</v>
      </c>
      <c r="Z6" s="2">
        <v>103.3</v>
      </c>
      <c r="AA6" s="2">
        <v>103.7</v>
      </c>
      <c r="AB6" s="2">
        <v>104.3</v>
      </c>
      <c r="AC6" s="2">
        <v>104.3</v>
      </c>
      <c r="AD6" s="2">
        <f>AVERAGE(All_India_Index_Upto_April23_CPI_data[[#This Row],[Cereals and products]:[Food and beverages]])</f>
        <v>106.96923076923078</v>
      </c>
      <c r="AE6" s="2">
        <f>AVERAGE(All_India_Index_Upto_April23_CPI_data[[#This Row],[Recreation and amusement]],All_India_Index_Upto_April23_CPI_data[[#This Row],[Pan, tobacco and intoxicants]])</f>
        <v>104.65</v>
      </c>
      <c r="AF6" s="2">
        <f>AVERAGE(All_India_Index_Upto_April23_CPI_data[[#This Row],[Household goods and services]],All_India_Index_Upto_April23_CPI_data[[#This Row],[Housing]])</f>
        <v>102.80000000000001</v>
      </c>
      <c r="AG6" s="2">
        <f>AVERAGE(All_India_Index_Upto_April23_CPI_data[[#This Row],[Personal care and effects]],All_India_Index_Upto_April23_CPI_data[[#This Row],[Health]])</f>
        <v>104.5</v>
      </c>
      <c r="AH6" s="2">
        <f>AVERAGE(All_India_Index_Upto_April23_CPI_data[[#This Row],[Clothing]:[Clothing and footwear]])</f>
        <v>106.16666666666667</v>
      </c>
      <c r="AI6" s="2">
        <v>104.7</v>
      </c>
      <c r="AJ6" s="1">
        <f>(All_India_Index_Upto_April23_CPI_data[[#This Row],[General index]]-AI3)/AI3</f>
        <v>6.730769230769258E-3</v>
      </c>
      <c r="AQ6" t="s">
        <v>32</v>
      </c>
      <c r="AR6">
        <v>2022</v>
      </c>
      <c r="AS6" t="s">
        <v>38</v>
      </c>
      <c r="AT6" s="2">
        <v>157.5</v>
      </c>
      <c r="AU6" s="2">
        <v>223.4</v>
      </c>
      <c r="AV6" s="2">
        <v>172.8</v>
      </c>
      <c r="AW6" s="2">
        <v>166.4</v>
      </c>
      <c r="AX6" s="2">
        <v>188.6</v>
      </c>
      <c r="AY6" s="2">
        <v>174.1</v>
      </c>
      <c r="AZ6" s="2">
        <v>211.5</v>
      </c>
      <c r="BA6" s="2">
        <v>163.6</v>
      </c>
      <c r="BB6" s="2">
        <v>121.4</v>
      </c>
      <c r="BC6" s="2">
        <v>183.5</v>
      </c>
      <c r="BD6" s="2">
        <v>159.1</v>
      </c>
      <c r="BE6" s="2">
        <v>186.3</v>
      </c>
      <c r="BF6" s="2">
        <v>179.3</v>
      </c>
      <c r="BG6" s="2">
        <v>175.96153846153845</v>
      </c>
      <c r="BH6" s="2">
        <f t="shared" ref="BH6:BH40" si="1">BG6-BG3</f>
        <v>1.9461538461538055</v>
      </c>
      <c r="BI6" s="1">
        <f t="shared" ref="BI6:BI40" si="2">BH6/BG3</f>
        <v>1.1183803377243156E-2</v>
      </c>
      <c r="BJ6" s="2"/>
      <c r="BK6" s="2"/>
      <c r="BL6" s="2"/>
      <c r="BM6" s="2"/>
      <c r="BN6" s="2"/>
      <c r="BO6" t="s">
        <v>32</v>
      </c>
      <c r="BP6">
        <v>2021</v>
      </c>
      <c r="BQ6" t="s">
        <v>34</v>
      </c>
      <c r="BR6" s="11">
        <f t="shared" si="0"/>
        <v>44228</v>
      </c>
      <c r="BS6" s="2">
        <v>147.6</v>
      </c>
      <c r="BT6" s="2">
        <v>191.2</v>
      </c>
      <c r="BU6" s="2">
        <v>169.9</v>
      </c>
      <c r="BV6" s="2">
        <v>155.1</v>
      </c>
      <c r="BW6" s="2">
        <v>151.4</v>
      </c>
      <c r="BX6" s="2">
        <v>154</v>
      </c>
      <c r="BY6" s="2">
        <v>180.2</v>
      </c>
      <c r="BZ6" s="2">
        <v>159.80000000000001</v>
      </c>
      <c r="CA6" s="2">
        <v>114.9</v>
      </c>
      <c r="CB6" s="2">
        <v>162.5</v>
      </c>
      <c r="CC6" s="2">
        <v>149.19999999999999</v>
      </c>
      <c r="CD6" s="2">
        <v>169.4</v>
      </c>
      <c r="CE6" s="2">
        <v>160.80000000000001</v>
      </c>
      <c r="CF6" s="2">
        <v>193.3</v>
      </c>
      <c r="CG6" s="2">
        <v>154.19999999999999</v>
      </c>
      <c r="CH6" s="2">
        <v>138.19999999999999</v>
      </c>
      <c r="CI6" s="2">
        <v>151.80000000000001</v>
      </c>
      <c r="CJ6" s="2">
        <v>159.80000000000001</v>
      </c>
      <c r="CK6" s="2">
        <v>149.1</v>
      </c>
      <c r="CL6" s="2">
        <v>146.5</v>
      </c>
      <c r="CM6" s="2">
        <v>156.30000000000001</v>
      </c>
      <c r="CN6" s="2">
        <v>140.5</v>
      </c>
      <c r="CO6" s="2">
        <v>147.30000000000001</v>
      </c>
      <c r="CP6" s="2">
        <v>156.6</v>
      </c>
      <c r="CQ6" s="2">
        <v>156.69999999999999</v>
      </c>
      <c r="CR6" s="2">
        <v>149.30000000000001</v>
      </c>
      <c r="CS6" s="2">
        <v>158.92307692307693</v>
      </c>
      <c r="CT6" s="2">
        <v>170.3</v>
      </c>
      <c r="CU6" s="2">
        <v>153.15</v>
      </c>
      <c r="CV6" s="2">
        <v>156.5</v>
      </c>
      <c r="CW6" s="2">
        <v>148.06666666666666</v>
      </c>
      <c r="CX6" s="2">
        <v>156.5</v>
      </c>
      <c r="CY6" s="1">
        <v>3.205128205128205E-3</v>
      </c>
      <c r="CZ6">
        <f>VLOOKUP(BR6,'OIL PRICE'!$A$1:$B$27,2,0)</f>
        <v>61.22</v>
      </c>
    </row>
    <row r="7" spans="1:131" x14ac:dyDescent="0.25">
      <c r="A7" t="s">
        <v>33</v>
      </c>
      <c r="B7">
        <v>2013</v>
      </c>
      <c r="C7" t="s">
        <v>34</v>
      </c>
      <c r="D7" s="2">
        <v>110.4</v>
      </c>
      <c r="E7" s="2">
        <v>110.2</v>
      </c>
      <c r="F7" s="2">
        <v>112.8</v>
      </c>
      <c r="G7" s="2">
        <v>104.9</v>
      </c>
      <c r="H7" s="2">
        <v>105.5</v>
      </c>
      <c r="I7" s="2">
        <v>103.6</v>
      </c>
      <c r="J7" s="2">
        <v>103.2</v>
      </c>
      <c r="K7" s="2">
        <v>105.3</v>
      </c>
      <c r="L7" s="2">
        <v>105.1</v>
      </c>
      <c r="M7" s="2">
        <v>102.8</v>
      </c>
      <c r="N7" s="2">
        <v>105.5</v>
      </c>
      <c r="O7" s="2">
        <v>108.3</v>
      </c>
      <c r="P7" s="2">
        <v>106.6</v>
      </c>
      <c r="Q7" s="2">
        <v>105.7</v>
      </c>
      <c r="R7" s="2">
        <v>106.9</v>
      </c>
      <c r="S7" s="2">
        <v>106</v>
      </c>
      <c r="T7" s="2">
        <v>106.8</v>
      </c>
      <c r="U7" s="2">
        <v>100.4</v>
      </c>
      <c r="V7" s="2">
        <v>106</v>
      </c>
      <c r="W7" s="2">
        <v>105.2</v>
      </c>
      <c r="X7" s="2">
        <v>104.5</v>
      </c>
      <c r="Y7" s="2">
        <v>104.2</v>
      </c>
      <c r="Z7" s="2">
        <v>103.6</v>
      </c>
      <c r="AA7" s="2">
        <v>103.9</v>
      </c>
      <c r="AB7" s="2">
        <v>104.5</v>
      </c>
      <c r="AC7" s="2">
        <v>104.4</v>
      </c>
      <c r="AD7" s="2">
        <f>AVERAGE(All_India_Index_Upto_April23_CPI_data[[#This Row],[Cereals and products]:[Food and beverages]])</f>
        <v>106.47692307692309</v>
      </c>
      <c r="AE7" s="2">
        <f>AVERAGE(All_India_Index_Upto_April23_CPI_data[[#This Row],[Recreation and amusement]],All_India_Index_Upto_April23_CPI_data[[#This Row],[Pan, tobacco and intoxicants]])</f>
        <v>104.65</v>
      </c>
      <c r="AF7" s="2">
        <f>AVERAGE(All_India_Index_Upto_April23_CPI_data[[#This Row],[Household goods and services]],All_India_Index_Upto_April23_CPI_data[[#This Row],[Housing]])</f>
        <v>102.80000000000001</v>
      </c>
      <c r="AG7" s="2">
        <f>AVERAGE(All_India_Index_Upto_April23_CPI_data[[#This Row],[Personal care and effects]],All_India_Index_Upto_April23_CPI_data[[#This Row],[Health]])</f>
        <v>104.5</v>
      </c>
      <c r="AH7" s="2">
        <f>AVERAGE(All_India_Index_Upto_April23_CPI_data[[#This Row],[Clothing]:[Clothing and footwear]])</f>
        <v>106.56666666666666</v>
      </c>
      <c r="AI7" s="2">
        <v>105.3</v>
      </c>
      <c r="AJ7" s="1">
        <f>(All_India_Index_Upto_April23_CPI_data[[#This Row],[General index]]-AI4)/AI4</f>
        <v>6.6921606118547118E-3</v>
      </c>
      <c r="AQ7" t="s">
        <v>33</v>
      </c>
      <c r="AR7">
        <v>2022</v>
      </c>
      <c r="AS7" t="s">
        <v>38</v>
      </c>
      <c r="AT7" s="2">
        <v>155</v>
      </c>
      <c r="AU7" s="2">
        <v>219.4</v>
      </c>
      <c r="AV7" s="2">
        <v>170.8</v>
      </c>
      <c r="AW7" s="2">
        <v>165.8</v>
      </c>
      <c r="AX7" s="2">
        <v>200.9</v>
      </c>
      <c r="AY7" s="2">
        <v>169.7</v>
      </c>
      <c r="AZ7" s="2">
        <v>182.3</v>
      </c>
      <c r="BA7" s="2">
        <v>164.3</v>
      </c>
      <c r="BB7" s="2">
        <v>119.9</v>
      </c>
      <c r="BC7" s="2">
        <v>187.1</v>
      </c>
      <c r="BD7" s="2">
        <v>167.9</v>
      </c>
      <c r="BE7" s="2">
        <v>183.9</v>
      </c>
      <c r="BF7" s="2">
        <v>174.9</v>
      </c>
      <c r="BG7" s="2">
        <v>173.99230769230769</v>
      </c>
      <c r="BH7" s="2">
        <f t="shared" si="1"/>
        <v>1.7692307692307168</v>
      </c>
      <c r="BI7" s="1">
        <f t="shared" si="2"/>
        <v>1.0272901871454425E-2</v>
      </c>
      <c r="BJ7" s="2"/>
      <c r="BK7" s="2"/>
      <c r="BL7" s="2"/>
      <c r="BM7" s="2"/>
      <c r="BN7" s="2"/>
      <c r="BO7" t="s">
        <v>33</v>
      </c>
      <c r="BP7">
        <v>2021</v>
      </c>
      <c r="BQ7" t="s">
        <v>34</v>
      </c>
      <c r="BR7" s="11">
        <f t="shared" si="0"/>
        <v>44228</v>
      </c>
      <c r="BS7" s="2">
        <v>144.30000000000001</v>
      </c>
      <c r="BT7" s="2">
        <v>186.5</v>
      </c>
      <c r="BU7" s="2">
        <v>168.7</v>
      </c>
      <c r="BV7" s="2">
        <v>154.69999999999999</v>
      </c>
      <c r="BW7" s="2">
        <v>158.69999999999999</v>
      </c>
      <c r="BX7" s="2">
        <v>150.69999999999999</v>
      </c>
      <c r="BY7" s="2">
        <v>160</v>
      </c>
      <c r="BZ7" s="2">
        <v>158.80000000000001</v>
      </c>
      <c r="CA7" s="2">
        <v>112.8</v>
      </c>
      <c r="CB7" s="2">
        <v>164.2</v>
      </c>
      <c r="CC7" s="2">
        <v>155.5</v>
      </c>
      <c r="CD7" s="2">
        <v>167.5</v>
      </c>
      <c r="CE7" s="2">
        <v>156.9</v>
      </c>
      <c r="CF7" s="2">
        <v>188.3</v>
      </c>
      <c r="CG7" s="2">
        <v>157.19999999999999</v>
      </c>
      <c r="CH7" s="2">
        <v>147.4</v>
      </c>
      <c r="CI7" s="2">
        <v>155.80000000000001</v>
      </c>
      <c r="CJ7" s="2">
        <v>159.80000000000001</v>
      </c>
      <c r="CK7" s="2">
        <v>152.4</v>
      </c>
      <c r="CL7" s="2">
        <v>150.9</v>
      </c>
      <c r="CM7" s="2">
        <v>161.30000000000001</v>
      </c>
      <c r="CN7" s="2">
        <v>145.1</v>
      </c>
      <c r="CO7" s="2">
        <v>151.5</v>
      </c>
      <c r="CP7" s="2">
        <v>159.5</v>
      </c>
      <c r="CQ7" s="2">
        <v>155.80000000000001</v>
      </c>
      <c r="CR7" s="2">
        <v>153.4</v>
      </c>
      <c r="CS7" s="2">
        <v>156.8692307692308</v>
      </c>
      <c r="CT7" s="2">
        <v>169.9</v>
      </c>
      <c r="CU7" s="2">
        <v>155.35000000000002</v>
      </c>
      <c r="CV7" s="2">
        <v>158.55000000000001</v>
      </c>
      <c r="CW7" s="2">
        <v>153.46666666666667</v>
      </c>
      <c r="CX7" s="2">
        <v>156.6</v>
      </c>
      <c r="CY7" s="1">
        <v>-4.4500953591863762E-3</v>
      </c>
      <c r="CZ7">
        <f>VLOOKUP(BR7,'OIL PRICE'!$A$1:$B$27,2,0)</f>
        <v>61.22</v>
      </c>
    </row>
    <row r="8" spans="1:131" x14ac:dyDescent="0.25">
      <c r="A8" t="s">
        <v>30</v>
      </c>
      <c r="B8">
        <v>2013</v>
      </c>
      <c r="C8" t="s">
        <v>35</v>
      </c>
      <c r="D8" s="2">
        <v>110.2</v>
      </c>
      <c r="E8" s="2">
        <v>108.8</v>
      </c>
      <c r="F8" s="2">
        <v>109.9</v>
      </c>
      <c r="G8" s="2">
        <v>105.6</v>
      </c>
      <c r="H8" s="2">
        <v>106.2</v>
      </c>
      <c r="I8" s="2">
        <v>105.7</v>
      </c>
      <c r="J8" s="2">
        <v>101.4</v>
      </c>
      <c r="K8" s="2">
        <v>105.7</v>
      </c>
      <c r="L8" s="2">
        <v>105</v>
      </c>
      <c r="M8" s="2">
        <v>103.3</v>
      </c>
      <c r="N8" s="2">
        <v>105.6</v>
      </c>
      <c r="O8" s="2">
        <v>108.2</v>
      </c>
      <c r="P8" s="2">
        <v>106.6</v>
      </c>
      <c r="Q8" s="2">
        <v>106.5</v>
      </c>
      <c r="R8" s="2">
        <v>107.6</v>
      </c>
      <c r="S8" s="2">
        <v>106.8</v>
      </c>
      <c r="T8" s="2">
        <v>107.5</v>
      </c>
      <c r="U8" s="2">
        <v>0</v>
      </c>
      <c r="V8" s="2">
        <v>106.1</v>
      </c>
      <c r="W8" s="2">
        <v>105.6</v>
      </c>
      <c r="X8" s="2">
        <v>104.7</v>
      </c>
      <c r="Y8" s="2">
        <v>104.6</v>
      </c>
      <c r="Z8" s="2">
        <v>104</v>
      </c>
      <c r="AA8" s="2">
        <v>104.3</v>
      </c>
      <c r="AB8" s="2">
        <v>104.3</v>
      </c>
      <c r="AC8" s="2">
        <v>104.6</v>
      </c>
      <c r="AD8" s="2">
        <f>AVERAGE(All_India_Index_Upto_April23_CPI_data[[#This Row],[Cereals and products]:[Food and beverages]])</f>
        <v>106.32307692307693</v>
      </c>
      <c r="AE8" s="2">
        <f>AVERAGE(All_India_Index_Upto_April23_CPI_data[[#This Row],[Recreation and amusement]],All_India_Index_Upto_April23_CPI_data[[#This Row],[Pan, tobacco and intoxicants]])</f>
        <v>105.25</v>
      </c>
      <c r="AF8" s="2">
        <f>AVERAGE(All_India_Index_Upto_April23_CPI_data[[#This Row],[Household goods and services]],All_India_Index_Upto_April23_CPI_data[[#This Row],[Housing]])</f>
        <v>52.8</v>
      </c>
      <c r="AG8" s="2">
        <f>AVERAGE(All_India_Index_Upto_April23_CPI_data[[#This Row],[Personal care and effects]],All_India_Index_Upto_April23_CPI_data[[#This Row],[Health]])</f>
        <v>104.5</v>
      </c>
      <c r="AH8" s="2">
        <f>AVERAGE(All_India_Index_Upto_April23_CPI_data[[#This Row],[Clothing]:[Clothing and footwear]])</f>
        <v>107.3</v>
      </c>
      <c r="AI8" s="2">
        <v>106</v>
      </c>
      <c r="AJ8" s="1">
        <f>(All_India_Index_Upto_April23_CPI_data[[#This Row],[General index]]-AI5)/AI5</f>
        <v>1.8903591682419929E-3</v>
      </c>
      <c r="AQ8" t="s">
        <v>30</v>
      </c>
      <c r="AR8">
        <v>2022</v>
      </c>
      <c r="AS8" t="s">
        <v>39</v>
      </c>
      <c r="AT8" s="2">
        <v>155.19999999999999</v>
      </c>
      <c r="AU8" s="2">
        <v>210.8</v>
      </c>
      <c r="AV8" s="2">
        <v>174.3</v>
      </c>
      <c r="AW8" s="2">
        <v>166.3</v>
      </c>
      <c r="AX8" s="2">
        <v>202.2</v>
      </c>
      <c r="AY8" s="2">
        <v>169.6</v>
      </c>
      <c r="AZ8" s="2">
        <v>168.6</v>
      </c>
      <c r="BA8" s="2">
        <v>164.4</v>
      </c>
      <c r="BB8" s="2">
        <v>119.2</v>
      </c>
      <c r="BC8" s="2">
        <v>191.8</v>
      </c>
      <c r="BD8" s="2">
        <v>174.5</v>
      </c>
      <c r="BE8" s="2">
        <v>183.1</v>
      </c>
      <c r="BF8" s="2">
        <v>172.5</v>
      </c>
      <c r="BG8" s="2">
        <v>173.26923076923077</v>
      </c>
      <c r="BH8" s="2">
        <f t="shared" si="1"/>
        <v>0.32307692307691127</v>
      </c>
      <c r="BI8" s="1">
        <f t="shared" si="2"/>
        <v>1.868078103455876E-3</v>
      </c>
      <c r="BJ8" s="2"/>
      <c r="BK8" s="2"/>
      <c r="BL8" s="2"/>
      <c r="BM8" s="2"/>
      <c r="BN8" s="2"/>
      <c r="BO8" t="s">
        <v>30</v>
      </c>
      <c r="BP8">
        <v>2021</v>
      </c>
      <c r="BQ8" t="s">
        <v>35</v>
      </c>
      <c r="BR8" s="11">
        <f t="shared" si="0"/>
        <v>44256</v>
      </c>
      <c r="BS8" s="2">
        <v>142.5</v>
      </c>
      <c r="BT8" s="2">
        <v>189.4</v>
      </c>
      <c r="BU8" s="2">
        <v>163.19999999999999</v>
      </c>
      <c r="BV8" s="2">
        <v>154.5</v>
      </c>
      <c r="BW8" s="2">
        <v>168.2</v>
      </c>
      <c r="BX8" s="2">
        <v>150.5</v>
      </c>
      <c r="BY8" s="2">
        <v>141</v>
      </c>
      <c r="BZ8" s="2">
        <v>159.19999999999999</v>
      </c>
      <c r="CA8" s="2">
        <v>111.7</v>
      </c>
      <c r="CB8" s="2">
        <v>164</v>
      </c>
      <c r="CC8" s="2">
        <v>160.6</v>
      </c>
      <c r="CD8" s="2">
        <v>166.4</v>
      </c>
      <c r="CE8" s="2">
        <v>154.5</v>
      </c>
      <c r="CF8" s="2">
        <v>186.1</v>
      </c>
      <c r="CG8" s="2">
        <v>159.6</v>
      </c>
      <c r="CH8" s="2">
        <v>154.4</v>
      </c>
      <c r="CI8" s="2">
        <v>158.9</v>
      </c>
      <c r="CJ8" s="2">
        <v>0</v>
      </c>
      <c r="CK8" s="2">
        <v>156</v>
      </c>
      <c r="CL8" s="2">
        <v>154.80000000000001</v>
      </c>
      <c r="CM8" s="2">
        <v>164.6</v>
      </c>
      <c r="CN8" s="2">
        <v>151.30000000000001</v>
      </c>
      <c r="CO8" s="2">
        <v>157.80000000000001</v>
      </c>
      <c r="CP8" s="2">
        <v>163.80000000000001</v>
      </c>
      <c r="CQ8" s="2">
        <v>153.1</v>
      </c>
      <c r="CR8" s="2">
        <v>157.30000000000001</v>
      </c>
      <c r="CS8" s="2">
        <v>155.82307692307694</v>
      </c>
      <c r="CT8" s="2">
        <v>171.95</v>
      </c>
      <c r="CU8" s="2">
        <v>77.400000000000006</v>
      </c>
      <c r="CV8" s="2">
        <v>158.85</v>
      </c>
      <c r="CW8" s="2">
        <v>157.63333333333333</v>
      </c>
      <c r="CX8" s="2">
        <v>156.69999999999999</v>
      </c>
      <c r="CY8" s="1">
        <v>0</v>
      </c>
      <c r="CZ8">
        <f>VLOOKUP(BR8,'OIL PRICE'!$A$1:$B$27,2,0)</f>
        <v>64.73</v>
      </c>
    </row>
    <row r="9" spans="1:131" x14ac:dyDescent="0.25">
      <c r="A9" t="s">
        <v>32</v>
      </c>
      <c r="B9">
        <v>2013</v>
      </c>
      <c r="C9" t="s">
        <v>35</v>
      </c>
      <c r="D9" s="2">
        <v>113.9</v>
      </c>
      <c r="E9" s="2">
        <v>111.4</v>
      </c>
      <c r="F9" s="2">
        <v>113.2</v>
      </c>
      <c r="G9" s="2">
        <v>104.3</v>
      </c>
      <c r="H9" s="2">
        <v>102.7</v>
      </c>
      <c r="I9" s="2">
        <v>104.9</v>
      </c>
      <c r="J9" s="2">
        <v>103.8</v>
      </c>
      <c r="K9" s="2">
        <v>103.5</v>
      </c>
      <c r="L9" s="2">
        <v>102.6</v>
      </c>
      <c r="M9" s="2">
        <v>102.4</v>
      </c>
      <c r="N9" s="2">
        <v>107</v>
      </c>
      <c r="O9" s="2">
        <v>109.8</v>
      </c>
      <c r="P9" s="2">
        <v>107.3</v>
      </c>
      <c r="Q9" s="2">
        <v>106.8</v>
      </c>
      <c r="R9" s="2">
        <v>107.2</v>
      </c>
      <c r="S9" s="2">
        <v>106</v>
      </c>
      <c r="T9" s="2">
        <v>107</v>
      </c>
      <c r="U9" s="2">
        <v>100.4</v>
      </c>
      <c r="V9" s="2">
        <v>106</v>
      </c>
      <c r="W9" s="2">
        <v>105.7</v>
      </c>
      <c r="X9" s="2">
        <v>105.2</v>
      </c>
      <c r="Y9" s="2">
        <v>105.5</v>
      </c>
      <c r="Z9" s="2">
        <v>103.5</v>
      </c>
      <c r="AA9" s="2">
        <v>103.8</v>
      </c>
      <c r="AB9" s="2">
        <v>104.2</v>
      </c>
      <c r="AC9" s="2">
        <v>104.9</v>
      </c>
      <c r="AD9" s="2">
        <f>AVERAGE(All_India_Index_Upto_April23_CPI_data[[#This Row],[Cereals and products]:[Food and beverages]])</f>
        <v>106.67692307692307</v>
      </c>
      <c r="AE9" s="2">
        <f>AVERAGE(All_India_Index_Upto_April23_CPI_data[[#This Row],[Recreation and amusement]],All_India_Index_Upto_April23_CPI_data[[#This Row],[Pan, tobacco and intoxicants]])</f>
        <v>105.15</v>
      </c>
      <c r="AF9" s="2">
        <f>AVERAGE(All_India_Index_Upto_April23_CPI_data[[#This Row],[Household goods and services]],All_India_Index_Upto_April23_CPI_data[[#This Row],[Housing]])</f>
        <v>103.05000000000001</v>
      </c>
      <c r="AG9" s="2">
        <f>AVERAGE(All_India_Index_Upto_April23_CPI_data[[#This Row],[Personal care and effects]],All_India_Index_Upto_April23_CPI_data[[#This Row],[Health]])</f>
        <v>104.7</v>
      </c>
      <c r="AH9" s="2">
        <f>AVERAGE(All_India_Index_Upto_April23_CPI_data[[#This Row],[Clothing]:[Clothing and footwear]])</f>
        <v>106.73333333333333</v>
      </c>
      <c r="AI9" s="2">
        <v>105</v>
      </c>
      <c r="AJ9" s="1">
        <f>(All_India_Index_Upto_April23_CPI_data[[#This Row],[General index]]-AI6)/AI6</f>
        <v>2.8653295128939554E-3</v>
      </c>
      <c r="AQ9" t="s">
        <v>32</v>
      </c>
      <c r="AR9">
        <v>2022</v>
      </c>
      <c r="AS9" t="s">
        <v>39</v>
      </c>
      <c r="AT9" s="2">
        <v>159.30000000000001</v>
      </c>
      <c r="AU9" s="2">
        <v>217.1</v>
      </c>
      <c r="AV9" s="2">
        <v>176.6</v>
      </c>
      <c r="AW9" s="2">
        <v>167.1</v>
      </c>
      <c r="AX9" s="2">
        <v>184.8</v>
      </c>
      <c r="AY9" s="2">
        <v>179.5</v>
      </c>
      <c r="AZ9" s="2">
        <v>208.5</v>
      </c>
      <c r="BA9" s="2">
        <v>164</v>
      </c>
      <c r="BB9" s="2">
        <v>121.5</v>
      </c>
      <c r="BC9" s="2">
        <v>186.3</v>
      </c>
      <c r="BD9" s="2">
        <v>159.80000000000001</v>
      </c>
      <c r="BE9" s="2">
        <v>187.7</v>
      </c>
      <c r="BF9" s="2">
        <v>179.4</v>
      </c>
      <c r="BG9" s="2">
        <v>176.27692307692308</v>
      </c>
      <c r="BH9" s="2">
        <f t="shared" si="1"/>
        <v>0.31538461538463025</v>
      </c>
      <c r="BI9" s="1">
        <f t="shared" si="2"/>
        <v>1.7923497267760408E-3</v>
      </c>
      <c r="BJ9" s="2"/>
      <c r="BK9" s="2"/>
      <c r="BL9" s="2"/>
      <c r="BM9" s="2"/>
      <c r="BN9" s="2"/>
      <c r="BO9" t="s">
        <v>32</v>
      </c>
      <c r="BP9">
        <v>2021</v>
      </c>
      <c r="BQ9" t="s">
        <v>35</v>
      </c>
      <c r="BR9" s="11">
        <f t="shared" si="0"/>
        <v>44256</v>
      </c>
      <c r="BS9" s="2">
        <v>147.5</v>
      </c>
      <c r="BT9" s="2">
        <v>197.5</v>
      </c>
      <c r="BU9" s="2">
        <v>164.7</v>
      </c>
      <c r="BV9" s="2">
        <v>155.6</v>
      </c>
      <c r="BW9" s="2">
        <v>156.4</v>
      </c>
      <c r="BX9" s="2">
        <v>157.30000000000001</v>
      </c>
      <c r="BY9" s="2">
        <v>166.1</v>
      </c>
      <c r="BZ9" s="2">
        <v>161.1</v>
      </c>
      <c r="CA9" s="2">
        <v>114.3</v>
      </c>
      <c r="CB9" s="2">
        <v>162.6</v>
      </c>
      <c r="CC9" s="2">
        <v>150.69999999999999</v>
      </c>
      <c r="CD9" s="2">
        <v>170.3</v>
      </c>
      <c r="CE9" s="2">
        <v>160.4</v>
      </c>
      <c r="CF9" s="2">
        <v>193.5</v>
      </c>
      <c r="CG9" s="2">
        <v>155.1</v>
      </c>
      <c r="CH9" s="2">
        <v>138.69999999999999</v>
      </c>
      <c r="CI9" s="2">
        <v>152.6</v>
      </c>
      <c r="CJ9" s="2">
        <v>159.9</v>
      </c>
      <c r="CK9" s="2">
        <v>154.80000000000001</v>
      </c>
      <c r="CL9" s="2">
        <v>147.19999999999999</v>
      </c>
      <c r="CM9" s="2">
        <v>156.9</v>
      </c>
      <c r="CN9" s="2">
        <v>141.69999999999999</v>
      </c>
      <c r="CO9" s="2">
        <v>148.6</v>
      </c>
      <c r="CP9" s="2">
        <v>157.6</v>
      </c>
      <c r="CQ9" s="2">
        <v>154.9</v>
      </c>
      <c r="CR9" s="2">
        <v>150</v>
      </c>
      <c r="CS9" s="2">
        <v>158.80769230769226</v>
      </c>
      <c r="CT9" s="2">
        <v>171.05</v>
      </c>
      <c r="CU9" s="2">
        <v>153.55000000000001</v>
      </c>
      <c r="CV9" s="2">
        <v>155.9</v>
      </c>
      <c r="CW9" s="2">
        <v>148.79999999999998</v>
      </c>
      <c r="CX9" s="2">
        <v>156.9</v>
      </c>
      <c r="CY9" s="1">
        <v>2.5559105431310269E-3</v>
      </c>
      <c r="CZ9">
        <f>VLOOKUP(BR9,'OIL PRICE'!$A$1:$B$27,2,0)</f>
        <v>64.73</v>
      </c>
    </row>
    <row r="10" spans="1:131" x14ac:dyDescent="0.25">
      <c r="A10" t="s">
        <v>33</v>
      </c>
      <c r="B10">
        <v>2013</v>
      </c>
      <c r="C10" t="s">
        <v>35</v>
      </c>
      <c r="D10" s="2">
        <v>111.4</v>
      </c>
      <c r="E10" s="2">
        <v>109.7</v>
      </c>
      <c r="F10" s="2">
        <v>111.2</v>
      </c>
      <c r="G10" s="2">
        <v>105.1</v>
      </c>
      <c r="H10" s="2">
        <v>104.9</v>
      </c>
      <c r="I10" s="2">
        <v>105.3</v>
      </c>
      <c r="J10" s="2">
        <v>102.2</v>
      </c>
      <c r="K10" s="2">
        <v>105</v>
      </c>
      <c r="L10" s="2">
        <v>104.2</v>
      </c>
      <c r="M10" s="2">
        <v>103</v>
      </c>
      <c r="N10" s="2">
        <v>106.2</v>
      </c>
      <c r="O10" s="2">
        <v>108.9</v>
      </c>
      <c r="P10" s="2">
        <v>106.9</v>
      </c>
      <c r="Q10" s="2">
        <v>106.6</v>
      </c>
      <c r="R10" s="2">
        <v>107.4</v>
      </c>
      <c r="S10" s="2">
        <v>106.5</v>
      </c>
      <c r="T10" s="2">
        <v>107.3</v>
      </c>
      <c r="U10" s="2">
        <v>100.4</v>
      </c>
      <c r="V10" s="2">
        <v>106.1</v>
      </c>
      <c r="W10" s="2">
        <v>105.6</v>
      </c>
      <c r="X10" s="2">
        <v>104.9</v>
      </c>
      <c r="Y10" s="2">
        <v>105.1</v>
      </c>
      <c r="Z10" s="2">
        <v>103.7</v>
      </c>
      <c r="AA10" s="2">
        <v>104</v>
      </c>
      <c r="AB10" s="2">
        <v>104.3</v>
      </c>
      <c r="AC10" s="2">
        <v>104.7</v>
      </c>
      <c r="AD10" s="2">
        <f>AVERAGE(All_India_Index_Upto_April23_CPI_data[[#This Row],[Cereals and products]:[Food and beverages]])</f>
        <v>106.46153846153848</v>
      </c>
      <c r="AE10" s="2">
        <f>AVERAGE(All_India_Index_Upto_April23_CPI_data[[#This Row],[Recreation and amusement]],All_India_Index_Upto_April23_CPI_data[[#This Row],[Pan, tobacco and intoxicants]])</f>
        <v>105.15</v>
      </c>
      <c r="AF10" s="2">
        <f>AVERAGE(All_India_Index_Upto_April23_CPI_data[[#This Row],[Household goods and services]],All_India_Index_Upto_April23_CPI_data[[#This Row],[Housing]])</f>
        <v>103</v>
      </c>
      <c r="AG10" s="2">
        <f>AVERAGE(All_India_Index_Upto_April23_CPI_data[[#This Row],[Personal care and effects]],All_India_Index_Upto_April23_CPI_data[[#This Row],[Health]])</f>
        <v>104.6</v>
      </c>
      <c r="AH10" s="2">
        <f>AVERAGE(All_India_Index_Upto_April23_CPI_data[[#This Row],[Clothing]:[Clothing and footwear]])</f>
        <v>107.06666666666666</v>
      </c>
      <c r="AI10" s="2">
        <v>105.5</v>
      </c>
      <c r="AJ10" s="1">
        <f>(All_India_Index_Upto_April23_CPI_data[[#This Row],[General index]]-AI7)/AI7</f>
        <v>1.899335232668593E-3</v>
      </c>
      <c r="AQ10" t="s">
        <v>33</v>
      </c>
      <c r="AR10">
        <v>2022</v>
      </c>
      <c r="AS10" t="s">
        <v>39</v>
      </c>
      <c r="AT10" s="2">
        <v>156.5</v>
      </c>
      <c r="AU10" s="2">
        <v>213</v>
      </c>
      <c r="AV10" s="2">
        <v>175.2</v>
      </c>
      <c r="AW10" s="2">
        <v>166.6</v>
      </c>
      <c r="AX10" s="2">
        <v>195.8</v>
      </c>
      <c r="AY10" s="2">
        <v>174.2</v>
      </c>
      <c r="AZ10" s="2">
        <v>182.1</v>
      </c>
      <c r="BA10" s="2">
        <v>164.3</v>
      </c>
      <c r="BB10" s="2">
        <v>120</v>
      </c>
      <c r="BC10" s="2">
        <v>190</v>
      </c>
      <c r="BD10" s="2">
        <v>168.4</v>
      </c>
      <c r="BE10" s="2">
        <v>185.2</v>
      </c>
      <c r="BF10" s="2">
        <v>175</v>
      </c>
      <c r="BG10" s="2">
        <v>174.33076923076925</v>
      </c>
      <c r="BH10" s="2">
        <f t="shared" si="1"/>
        <v>0.33846153846155858</v>
      </c>
      <c r="BI10" s="1">
        <f t="shared" si="2"/>
        <v>1.9452672531943328E-3</v>
      </c>
      <c r="BJ10" s="2"/>
      <c r="BK10" s="2"/>
      <c r="BL10" s="2"/>
      <c r="BM10" s="2"/>
      <c r="BN10" s="2"/>
      <c r="BO10" t="s">
        <v>33</v>
      </c>
      <c r="BP10">
        <v>2021</v>
      </c>
      <c r="BQ10" t="s">
        <v>35</v>
      </c>
      <c r="BR10" s="11">
        <f t="shared" si="0"/>
        <v>44256</v>
      </c>
      <c r="BS10" s="2">
        <v>144.1</v>
      </c>
      <c r="BT10" s="2">
        <v>192.2</v>
      </c>
      <c r="BU10" s="2">
        <v>163.80000000000001</v>
      </c>
      <c r="BV10" s="2">
        <v>154.9</v>
      </c>
      <c r="BW10" s="2">
        <v>163.9</v>
      </c>
      <c r="BX10" s="2">
        <v>153.69999999999999</v>
      </c>
      <c r="BY10" s="2">
        <v>149.5</v>
      </c>
      <c r="BZ10" s="2">
        <v>159.80000000000001</v>
      </c>
      <c r="CA10" s="2">
        <v>112.6</v>
      </c>
      <c r="CB10" s="2">
        <v>163.5</v>
      </c>
      <c r="CC10" s="2">
        <v>156.5</v>
      </c>
      <c r="CD10" s="2">
        <v>168.2</v>
      </c>
      <c r="CE10" s="2">
        <v>156.69999999999999</v>
      </c>
      <c r="CF10" s="2">
        <v>188.1</v>
      </c>
      <c r="CG10" s="2">
        <v>157.80000000000001</v>
      </c>
      <c r="CH10" s="2">
        <v>147.9</v>
      </c>
      <c r="CI10" s="2">
        <v>156.4</v>
      </c>
      <c r="CJ10" s="2">
        <v>159.9</v>
      </c>
      <c r="CK10" s="2">
        <v>155.5</v>
      </c>
      <c r="CL10" s="2">
        <v>151.19999999999999</v>
      </c>
      <c r="CM10" s="2">
        <v>161.69999999999999</v>
      </c>
      <c r="CN10" s="2">
        <v>146.19999999999999</v>
      </c>
      <c r="CO10" s="2">
        <v>152.6</v>
      </c>
      <c r="CP10" s="2">
        <v>160.19999999999999</v>
      </c>
      <c r="CQ10" s="2">
        <v>153.80000000000001</v>
      </c>
      <c r="CR10" s="2">
        <v>153.80000000000001</v>
      </c>
      <c r="CS10" s="2">
        <v>156.87692307692308</v>
      </c>
      <c r="CT10" s="2">
        <v>170.35</v>
      </c>
      <c r="CU10" s="2">
        <v>155.55000000000001</v>
      </c>
      <c r="CV10" s="2">
        <v>157.75</v>
      </c>
      <c r="CW10" s="2">
        <v>154.03333333333333</v>
      </c>
      <c r="CX10" s="2">
        <v>156.80000000000001</v>
      </c>
      <c r="CY10" s="1">
        <v>1.2771392081737999E-3</v>
      </c>
      <c r="CZ10">
        <f>VLOOKUP(BR10,'OIL PRICE'!$A$1:$B$27,2,0)</f>
        <v>64.73</v>
      </c>
    </row>
    <row r="11" spans="1:131" x14ac:dyDescent="0.25">
      <c r="A11" t="s">
        <v>30</v>
      </c>
      <c r="B11">
        <v>2013</v>
      </c>
      <c r="C11" t="s">
        <v>36</v>
      </c>
      <c r="D11" s="2">
        <v>110.2</v>
      </c>
      <c r="E11" s="2">
        <v>109.5</v>
      </c>
      <c r="F11" s="2">
        <v>106.9</v>
      </c>
      <c r="G11" s="2">
        <v>106.3</v>
      </c>
      <c r="H11" s="2">
        <v>105.7</v>
      </c>
      <c r="I11" s="2">
        <v>108.3</v>
      </c>
      <c r="J11" s="2">
        <v>103.4</v>
      </c>
      <c r="K11" s="2">
        <v>105.7</v>
      </c>
      <c r="L11" s="2">
        <v>104.2</v>
      </c>
      <c r="M11" s="2">
        <v>103.2</v>
      </c>
      <c r="N11" s="2">
        <v>106.5</v>
      </c>
      <c r="O11" s="2">
        <v>108.8</v>
      </c>
      <c r="P11" s="2">
        <v>107.1</v>
      </c>
      <c r="Q11" s="2">
        <v>107.1</v>
      </c>
      <c r="R11" s="2">
        <v>108.1</v>
      </c>
      <c r="S11" s="2">
        <v>107.4</v>
      </c>
      <c r="T11" s="2">
        <v>108</v>
      </c>
      <c r="U11" s="2">
        <v>0</v>
      </c>
      <c r="V11" s="2">
        <v>106.5</v>
      </c>
      <c r="W11" s="2">
        <v>106.1</v>
      </c>
      <c r="X11" s="2">
        <v>105.1</v>
      </c>
      <c r="Y11" s="2">
        <v>104.4</v>
      </c>
      <c r="Z11" s="2">
        <v>104.5</v>
      </c>
      <c r="AA11" s="2">
        <v>104.8</v>
      </c>
      <c r="AB11" s="2">
        <v>102.7</v>
      </c>
      <c r="AC11" s="2">
        <v>104.6</v>
      </c>
      <c r="AD11" s="2">
        <f>AVERAGE(All_India_Index_Upto_April23_CPI_data[[#This Row],[Cereals and products]:[Food and beverages]])</f>
        <v>106.6</v>
      </c>
      <c r="AE11" s="2">
        <f>AVERAGE(All_India_Index_Upto_April23_CPI_data[[#This Row],[Recreation and amusement]],All_India_Index_Upto_April23_CPI_data[[#This Row],[Pan, tobacco and intoxicants]])</f>
        <v>105.8</v>
      </c>
      <c r="AF11" s="2">
        <f>AVERAGE(All_India_Index_Upto_April23_CPI_data[[#This Row],[Household goods and services]],All_India_Index_Upto_April23_CPI_data[[#This Row],[Housing]])</f>
        <v>53.05</v>
      </c>
      <c r="AG11" s="2">
        <f>AVERAGE(All_India_Index_Upto_April23_CPI_data[[#This Row],[Personal care and effects]],All_India_Index_Upto_April23_CPI_data[[#This Row],[Health]])</f>
        <v>103.9</v>
      </c>
      <c r="AH11" s="2">
        <f>AVERAGE(All_India_Index_Upto_April23_CPI_data[[#This Row],[Clothing]:[Clothing and footwear]])</f>
        <v>107.83333333333333</v>
      </c>
      <c r="AI11" s="2">
        <v>106.4</v>
      </c>
      <c r="AJ11" s="1">
        <f>(All_India_Index_Upto_April23_CPI_data[[#This Row],[General index]]-AI8)/AI8</f>
        <v>3.7735849056604312E-3</v>
      </c>
      <c r="AQ11" t="s">
        <v>30</v>
      </c>
      <c r="AR11">
        <v>2022</v>
      </c>
      <c r="AS11" t="s">
        <v>40</v>
      </c>
      <c r="AT11" s="2">
        <v>159.5</v>
      </c>
      <c r="AU11" s="2">
        <v>204.1</v>
      </c>
      <c r="AV11" s="2">
        <v>168.3</v>
      </c>
      <c r="AW11" s="2">
        <v>167.9</v>
      </c>
      <c r="AX11" s="2">
        <v>198.1</v>
      </c>
      <c r="AY11" s="2">
        <v>169.2</v>
      </c>
      <c r="AZ11" s="2">
        <v>173.1</v>
      </c>
      <c r="BA11" s="2">
        <v>167.1</v>
      </c>
      <c r="BB11" s="2">
        <v>120.2</v>
      </c>
      <c r="BC11" s="2">
        <v>195.6</v>
      </c>
      <c r="BD11" s="2">
        <v>174.8</v>
      </c>
      <c r="BE11" s="2">
        <v>184</v>
      </c>
      <c r="BF11" s="2">
        <v>173.9</v>
      </c>
      <c r="BG11" s="2">
        <v>173.5230769230769</v>
      </c>
      <c r="BH11" s="2">
        <f t="shared" si="1"/>
        <v>0.2538461538461263</v>
      </c>
      <c r="BI11" s="1">
        <f t="shared" si="2"/>
        <v>1.465038845726811E-3</v>
      </c>
      <c r="BJ11" s="2"/>
      <c r="BK11" s="2"/>
      <c r="BL11" s="2"/>
      <c r="BM11" s="2"/>
      <c r="BN11" s="2"/>
      <c r="BO11" t="s">
        <v>30</v>
      </c>
      <c r="BP11">
        <v>2021</v>
      </c>
      <c r="BQ11" t="s">
        <v>36</v>
      </c>
      <c r="BR11" s="11">
        <f t="shared" si="0"/>
        <v>44287</v>
      </c>
      <c r="BS11" s="2">
        <v>142.69999999999999</v>
      </c>
      <c r="BT11" s="2">
        <v>195.5</v>
      </c>
      <c r="BU11" s="2">
        <v>163.4</v>
      </c>
      <c r="BV11" s="2">
        <v>155</v>
      </c>
      <c r="BW11" s="2">
        <v>175.2</v>
      </c>
      <c r="BX11" s="2">
        <v>160.6</v>
      </c>
      <c r="BY11" s="2">
        <v>135.1</v>
      </c>
      <c r="BZ11" s="2">
        <v>161.1</v>
      </c>
      <c r="CA11" s="2">
        <v>112.2</v>
      </c>
      <c r="CB11" s="2">
        <v>164.4</v>
      </c>
      <c r="CC11" s="2">
        <v>161.9</v>
      </c>
      <c r="CD11" s="2">
        <v>166.8</v>
      </c>
      <c r="CE11" s="2">
        <v>155.6</v>
      </c>
      <c r="CF11" s="2">
        <v>186.8</v>
      </c>
      <c r="CG11" s="2">
        <v>160.69999999999999</v>
      </c>
      <c r="CH11" s="2">
        <v>155.1</v>
      </c>
      <c r="CI11" s="2">
        <v>159.9</v>
      </c>
      <c r="CJ11" s="2">
        <v>0</v>
      </c>
      <c r="CK11" s="2">
        <v>156</v>
      </c>
      <c r="CL11" s="2">
        <v>155.5</v>
      </c>
      <c r="CM11" s="2">
        <v>165.3</v>
      </c>
      <c r="CN11" s="2">
        <v>151.69999999999999</v>
      </c>
      <c r="CO11" s="2">
        <v>158.6</v>
      </c>
      <c r="CP11" s="2">
        <v>164.1</v>
      </c>
      <c r="CQ11" s="2">
        <v>154.6</v>
      </c>
      <c r="CR11" s="2">
        <v>158</v>
      </c>
      <c r="CS11" s="2">
        <v>157.65384615384616</v>
      </c>
      <c r="CT11" s="2">
        <v>172.7</v>
      </c>
      <c r="CU11" s="2">
        <v>77.75</v>
      </c>
      <c r="CV11" s="2">
        <v>159.94999999999999</v>
      </c>
      <c r="CW11" s="2">
        <v>158.56666666666663</v>
      </c>
      <c r="CX11" s="2">
        <v>157.6</v>
      </c>
      <c r="CY11" s="1">
        <v>5.7434588385450267E-3</v>
      </c>
      <c r="CZ11">
        <f>VLOOKUP(BR11,'OIL PRICE'!$A$1:$B$27,2,0)</f>
        <v>63.4</v>
      </c>
    </row>
    <row r="12" spans="1:131" x14ac:dyDescent="0.25">
      <c r="A12" t="s">
        <v>32</v>
      </c>
      <c r="B12">
        <v>2013</v>
      </c>
      <c r="C12" t="s">
        <v>36</v>
      </c>
      <c r="D12" s="2">
        <v>114.6</v>
      </c>
      <c r="E12" s="2">
        <v>113.4</v>
      </c>
      <c r="F12" s="2">
        <v>106</v>
      </c>
      <c r="G12" s="2">
        <v>104.7</v>
      </c>
      <c r="H12" s="2">
        <v>102.1</v>
      </c>
      <c r="I12" s="2">
        <v>109.5</v>
      </c>
      <c r="J12" s="2">
        <v>109.7</v>
      </c>
      <c r="K12" s="2">
        <v>104.6</v>
      </c>
      <c r="L12" s="2">
        <v>102</v>
      </c>
      <c r="M12" s="2">
        <v>103.5</v>
      </c>
      <c r="N12" s="2">
        <v>108.2</v>
      </c>
      <c r="O12" s="2">
        <v>110.6</v>
      </c>
      <c r="P12" s="2">
        <v>108.8</v>
      </c>
      <c r="Q12" s="2">
        <v>108.5</v>
      </c>
      <c r="R12" s="2">
        <v>107.9</v>
      </c>
      <c r="S12" s="2">
        <v>106.4</v>
      </c>
      <c r="T12" s="2">
        <v>107.7</v>
      </c>
      <c r="U12" s="2">
        <v>100.5</v>
      </c>
      <c r="V12" s="2">
        <v>106.4</v>
      </c>
      <c r="W12" s="2">
        <v>106.5</v>
      </c>
      <c r="X12" s="2">
        <v>105.7</v>
      </c>
      <c r="Y12" s="2">
        <v>105</v>
      </c>
      <c r="Z12" s="2">
        <v>104</v>
      </c>
      <c r="AA12" s="2">
        <v>105.2</v>
      </c>
      <c r="AB12" s="2">
        <v>103.2</v>
      </c>
      <c r="AC12" s="2">
        <v>105.1</v>
      </c>
      <c r="AD12" s="2">
        <f>AVERAGE(All_India_Index_Upto_April23_CPI_data[[#This Row],[Cereals and products]:[Food and beverages]])</f>
        <v>107.5153846153846</v>
      </c>
      <c r="AE12" s="2">
        <f>AVERAGE(All_India_Index_Upto_April23_CPI_data[[#This Row],[Recreation and amusement]],All_India_Index_Upto_April23_CPI_data[[#This Row],[Pan, tobacco and intoxicants]])</f>
        <v>106.25</v>
      </c>
      <c r="AF12" s="2">
        <f>AVERAGE(All_India_Index_Upto_April23_CPI_data[[#This Row],[Household goods and services]],All_India_Index_Upto_April23_CPI_data[[#This Row],[Housing]])</f>
        <v>103.5</v>
      </c>
      <c r="AG12" s="2">
        <f>AVERAGE(All_India_Index_Upto_April23_CPI_data[[#This Row],[Personal care and effects]],All_India_Index_Upto_April23_CPI_data[[#This Row],[Health]])</f>
        <v>104.45</v>
      </c>
      <c r="AH12" s="2">
        <f>AVERAGE(All_India_Index_Upto_April23_CPI_data[[#This Row],[Clothing]:[Clothing and footwear]])</f>
        <v>107.33333333333333</v>
      </c>
      <c r="AI12" s="2">
        <v>105.7</v>
      </c>
      <c r="AJ12" s="1">
        <f>(All_India_Index_Upto_April23_CPI_data[[#This Row],[General index]]-AI9)/AI9</f>
        <v>6.666666666666694E-3</v>
      </c>
      <c r="AQ12" t="s">
        <v>32</v>
      </c>
      <c r="AR12">
        <v>2022</v>
      </c>
      <c r="AS12" t="s">
        <v>40</v>
      </c>
      <c r="AT12" s="2">
        <v>162.1</v>
      </c>
      <c r="AU12" s="2">
        <v>210.9</v>
      </c>
      <c r="AV12" s="2">
        <v>170.6</v>
      </c>
      <c r="AW12" s="2">
        <v>168.4</v>
      </c>
      <c r="AX12" s="2">
        <v>182.5</v>
      </c>
      <c r="AY12" s="2">
        <v>177.1</v>
      </c>
      <c r="AZ12" s="2">
        <v>213.1</v>
      </c>
      <c r="BA12" s="2">
        <v>167.3</v>
      </c>
      <c r="BB12" s="2">
        <v>122.2</v>
      </c>
      <c r="BC12" s="2">
        <v>189.7</v>
      </c>
      <c r="BD12" s="2">
        <v>160.5</v>
      </c>
      <c r="BE12" s="2">
        <v>188.9</v>
      </c>
      <c r="BF12" s="2">
        <v>180.4</v>
      </c>
      <c r="BG12" s="2">
        <v>176.43846153846152</v>
      </c>
      <c r="BH12" s="2">
        <f t="shared" si="1"/>
        <v>0.16153846153844142</v>
      </c>
      <c r="BI12" s="1">
        <f t="shared" si="2"/>
        <v>9.1639029499028556E-4</v>
      </c>
      <c r="BJ12" s="2"/>
      <c r="BK12" s="2"/>
      <c r="BL12" s="2"/>
      <c r="BM12" s="2"/>
      <c r="BN12" s="2"/>
      <c r="BO12" t="s">
        <v>32</v>
      </c>
      <c r="BP12">
        <v>2021</v>
      </c>
      <c r="BQ12" t="s">
        <v>36</v>
      </c>
      <c r="BR12" s="11">
        <f t="shared" si="0"/>
        <v>44287</v>
      </c>
      <c r="BS12" s="2">
        <v>147.6</v>
      </c>
      <c r="BT12" s="2">
        <v>202.5</v>
      </c>
      <c r="BU12" s="2">
        <v>166.4</v>
      </c>
      <c r="BV12" s="2">
        <v>156</v>
      </c>
      <c r="BW12" s="2">
        <v>161.4</v>
      </c>
      <c r="BX12" s="2">
        <v>168.8</v>
      </c>
      <c r="BY12" s="2">
        <v>161.6</v>
      </c>
      <c r="BZ12" s="2">
        <v>162.80000000000001</v>
      </c>
      <c r="CA12" s="2">
        <v>114.8</v>
      </c>
      <c r="CB12" s="2">
        <v>162.80000000000001</v>
      </c>
      <c r="CC12" s="2">
        <v>151.5</v>
      </c>
      <c r="CD12" s="2">
        <v>171.4</v>
      </c>
      <c r="CE12" s="2">
        <v>162</v>
      </c>
      <c r="CF12" s="2">
        <v>194.4</v>
      </c>
      <c r="CG12" s="2">
        <v>155.9</v>
      </c>
      <c r="CH12" s="2">
        <v>139.30000000000001</v>
      </c>
      <c r="CI12" s="2">
        <v>153.4</v>
      </c>
      <c r="CJ12" s="2">
        <v>161.4</v>
      </c>
      <c r="CK12" s="2">
        <v>154.9</v>
      </c>
      <c r="CL12" s="2">
        <v>147.6</v>
      </c>
      <c r="CM12" s="2">
        <v>157.5</v>
      </c>
      <c r="CN12" s="2">
        <v>142.1</v>
      </c>
      <c r="CO12" s="2">
        <v>149.1</v>
      </c>
      <c r="CP12" s="2">
        <v>157.6</v>
      </c>
      <c r="CQ12" s="2">
        <v>156.6</v>
      </c>
      <c r="CR12" s="2">
        <v>150.5</v>
      </c>
      <c r="CS12" s="2">
        <v>160.73846153846154</v>
      </c>
      <c r="CT12" s="2">
        <v>171.75</v>
      </c>
      <c r="CU12" s="2">
        <v>154.5</v>
      </c>
      <c r="CV12" s="2">
        <v>157.05000000000001</v>
      </c>
      <c r="CW12" s="2">
        <v>149.53333333333333</v>
      </c>
      <c r="CX12" s="2">
        <v>158</v>
      </c>
      <c r="CY12" s="1">
        <v>7.0108349267048713E-3</v>
      </c>
      <c r="CZ12">
        <f>VLOOKUP(BR12,'OIL PRICE'!$A$1:$B$27,2,0)</f>
        <v>63.4</v>
      </c>
    </row>
    <row r="13" spans="1:131" x14ac:dyDescent="0.25">
      <c r="A13" t="s">
        <v>33</v>
      </c>
      <c r="B13">
        <v>2013</v>
      </c>
      <c r="C13" t="s">
        <v>36</v>
      </c>
      <c r="D13" s="2">
        <v>111.6</v>
      </c>
      <c r="E13" s="2">
        <v>110.9</v>
      </c>
      <c r="F13" s="2">
        <v>106.6</v>
      </c>
      <c r="G13" s="2">
        <v>105.7</v>
      </c>
      <c r="H13" s="2">
        <v>104.4</v>
      </c>
      <c r="I13" s="2">
        <v>108.9</v>
      </c>
      <c r="J13" s="2">
        <v>105.5</v>
      </c>
      <c r="K13" s="2">
        <v>105.3</v>
      </c>
      <c r="L13" s="2">
        <v>103.5</v>
      </c>
      <c r="M13" s="2">
        <v>103.3</v>
      </c>
      <c r="N13" s="2">
        <v>107.2</v>
      </c>
      <c r="O13" s="2">
        <v>109.6</v>
      </c>
      <c r="P13" s="2">
        <v>107.7</v>
      </c>
      <c r="Q13" s="2">
        <v>107.5</v>
      </c>
      <c r="R13" s="2">
        <v>108</v>
      </c>
      <c r="S13" s="2">
        <v>107</v>
      </c>
      <c r="T13" s="2">
        <v>107.9</v>
      </c>
      <c r="U13" s="2">
        <v>100.5</v>
      </c>
      <c r="V13" s="2">
        <v>106.5</v>
      </c>
      <c r="W13" s="2">
        <v>106.3</v>
      </c>
      <c r="X13" s="2">
        <v>105.3</v>
      </c>
      <c r="Y13" s="2">
        <v>104.7</v>
      </c>
      <c r="Z13" s="2">
        <v>104.2</v>
      </c>
      <c r="AA13" s="2">
        <v>105</v>
      </c>
      <c r="AB13" s="2">
        <v>102.9</v>
      </c>
      <c r="AC13" s="2">
        <v>104.8</v>
      </c>
      <c r="AD13" s="2">
        <f>AVERAGE(All_India_Index_Upto_April23_CPI_data[[#This Row],[Cereals and products]:[Food and beverages]])</f>
        <v>106.93846153846154</v>
      </c>
      <c r="AE13" s="2">
        <f>AVERAGE(All_India_Index_Upto_April23_CPI_data[[#This Row],[Recreation and amusement]],All_India_Index_Upto_April23_CPI_data[[#This Row],[Pan, tobacco and intoxicants]])</f>
        <v>105.85</v>
      </c>
      <c r="AF13" s="2">
        <f>AVERAGE(All_India_Index_Upto_April23_CPI_data[[#This Row],[Household goods and services]],All_India_Index_Upto_April23_CPI_data[[#This Row],[Housing]])</f>
        <v>103.4</v>
      </c>
      <c r="AG13" s="2">
        <f>AVERAGE(All_India_Index_Upto_April23_CPI_data[[#This Row],[Personal care and effects]],All_India_Index_Upto_April23_CPI_data[[#This Row],[Health]])</f>
        <v>104.1</v>
      </c>
      <c r="AH13" s="2">
        <f>AVERAGE(All_India_Index_Upto_April23_CPI_data[[#This Row],[Clothing]:[Clothing and footwear]])</f>
        <v>107.63333333333333</v>
      </c>
      <c r="AI13" s="2">
        <v>106.1</v>
      </c>
      <c r="AJ13" s="1">
        <f>(All_India_Index_Upto_April23_CPI_data[[#This Row],[General index]]-AI10)/AI10</f>
        <v>5.6872037914691403E-3</v>
      </c>
      <c r="AQ13" t="s">
        <v>33</v>
      </c>
      <c r="AR13">
        <v>2022</v>
      </c>
      <c r="AS13" t="s">
        <v>40</v>
      </c>
      <c r="AT13" s="2">
        <v>160.30000000000001</v>
      </c>
      <c r="AU13" s="2">
        <v>206.5</v>
      </c>
      <c r="AV13" s="2">
        <v>169.2</v>
      </c>
      <c r="AW13" s="2">
        <v>168.1</v>
      </c>
      <c r="AX13" s="2">
        <v>192.4</v>
      </c>
      <c r="AY13" s="2">
        <v>172.9</v>
      </c>
      <c r="AZ13" s="2">
        <v>186.7</v>
      </c>
      <c r="BA13" s="2">
        <v>167.2</v>
      </c>
      <c r="BB13" s="2">
        <v>120.9</v>
      </c>
      <c r="BC13" s="2">
        <v>193.6</v>
      </c>
      <c r="BD13" s="2">
        <v>168.8</v>
      </c>
      <c r="BE13" s="2">
        <v>186.3</v>
      </c>
      <c r="BF13" s="2">
        <v>176.3</v>
      </c>
      <c r="BG13" s="2">
        <v>174.55384615384617</v>
      </c>
      <c r="BH13" s="2">
        <f t="shared" si="1"/>
        <v>0.22307692307691696</v>
      </c>
      <c r="BI13" s="1">
        <f t="shared" si="2"/>
        <v>1.2796187618585007E-3</v>
      </c>
      <c r="BO13" t="s">
        <v>33</v>
      </c>
      <c r="BP13">
        <v>2021</v>
      </c>
      <c r="BQ13" t="s">
        <v>36</v>
      </c>
      <c r="BR13" s="11">
        <f t="shared" si="0"/>
        <v>44287</v>
      </c>
      <c r="BS13" s="2">
        <v>144.30000000000001</v>
      </c>
      <c r="BT13" s="2">
        <v>198</v>
      </c>
      <c r="BU13" s="2">
        <v>164.6</v>
      </c>
      <c r="BV13" s="2">
        <v>155.4</v>
      </c>
      <c r="BW13" s="2">
        <v>170.1</v>
      </c>
      <c r="BX13" s="2">
        <v>164.4</v>
      </c>
      <c r="BY13" s="2">
        <v>144.1</v>
      </c>
      <c r="BZ13" s="2">
        <v>161.69999999999999</v>
      </c>
      <c r="CA13" s="2">
        <v>113.1</v>
      </c>
      <c r="CB13" s="2">
        <v>163.9</v>
      </c>
      <c r="CC13" s="2">
        <v>157.6</v>
      </c>
      <c r="CD13" s="2">
        <v>168.9</v>
      </c>
      <c r="CE13" s="2">
        <v>158</v>
      </c>
      <c r="CF13" s="2">
        <v>188.8</v>
      </c>
      <c r="CG13" s="2">
        <v>158.80000000000001</v>
      </c>
      <c r="CH13" s="2">
        <v>148.5</v>
      </c>
      <c r="CI13" s="2">
        <v>157.30000000000001</v>
      </c>
      <c r="CJ13" s="2">
        <v>161.4</v>
      </c>
      <c r="CK13" s="2">
        <v>155.6</v>
      </c>
      <c r="CL13" s="2">
        <v>151.80000000000001</v>
      </c>
      <c r="CM13" s="2">
        <v>162.30000000000001</v>
      </c>
      <c r="CN13" s="2">
        <v>146.6</v>
      </c>
      <c r="CO13" s="2">
        <v>153.19999999999999</v>
      </c>
      <c r="CP13" s="2">
        <v>160.30000000000001</v>
      </c>
      <c r="CQ13" s="2">
        <v>155.4</v>
      </c>
      <c r="CR13" s="2">
        <v>154.4</v>
      </c>
      <c r="CS13" s="2">
        <v>158.77692307692308</v>
      </c>
      <c r="CT13" s="2">
        <v>171</v>
      </c>
      <c r="CU13" s="2">
        <v>156.60000000000002</v>
      </c>
      <c r="CV13" s="2">
        <v>158.85000000000002</v>
      </c>
      <c r="CW13" s="2">
        <v>154.86666666666667</v>
      </c>
      <c r="CX13" s="2">
        <v>157.80000000000001</v>
      </c>
      <c r="CY13" s="1">
        <v>6.3775510204081625E-3</v>
      </c>
      <c r="CZ13">
        <f>VLOOKUP(BR13,'OIL PRICE'!$A$1:$B$27,2,0)</f>
        <v>63.4</v>
      </c>
    </row>
    <row r="14" spans="1:131" x14ac:dyDescent="0.25">
      <c r="A14" t="s">
        <v>30</v>
      </c>
      <c r="B14">
        <v>2013</v>
      </c>
      <c r="C14" t="s">
        <v>37</v>
      </c>
      <c r="D14" s="2">
        <v>110.9</v>
      </c>
      <c r="E14" s="2">
        <v>109.8</v>
      </c>
      <c r="F14" s="2">
        <v>105.9</v>
      </c>
      <c r="G14" s="2">
        <v>107.5</v>
      </c>
      <c r="H14" s="2">
        <v>105.3</v>
      </c>
      <c r="I14" s="2">
        <v>108.1</v>
      </c>
      <c r="J14" s="2">
        <v>107.3</v>
      </c>
      <c r="K14" s="2">
        <v>106.1</v>
      </c>
      <c r="L14" s="2">
        <v>103.7</v>
      </c>
      <c r="M14" s="2">
        <v>104</v>
      </c>
      <c r="N14" s="2">
        <v>107.4</v>
      </c>
      <c r="O14" s="2">
        <v>109.9</v>
      </c>
      <c r="P14" s="2">
        <v>108.1</v>
      </c>
      <c r="Q14" s="2">
        <v>108.1</v>
      </c>
      <c r="R14" s="2">
        <v>108.8</v>
      </c>
      <c r="S14" s="2">
        <v>107.9</v>
      </c>
      <c r="T14" s="2">
        <v>108.6</v>
      </c>
      <c r="U14" s="2">
        <v>0</v>
      </c>
      <c r="V14" s="2">
        <v>107.5</v>
      </c>
      <c r="W14" s="2">
        <v>106.8</v>
      </c>
      <c r="X14" s="2">
        <v>105.7</v>
      </c>
      <c r="Y14" s="2">
        <v>104.1</v>
      </c>
      <c r="Z14" s="2">
        <v>105</v>
      </c>
      <c r="AA14" s="2">
        <v>105.5</v>
      </c>
      <c r="AB14" s="2">
        <v>102.1</v>
      </c>
      <c r="AC14" s="2">
        <v>104.8</v>
      </c>
      <c r="AD14" s="2">
        <f>AVERAGE(All_India_Index_Upto_April23_CPI_data[[#This Row],[Cereals and products]:[Food and beverages]])</f>
        <v>107.23076923076923</v>
      </c>
      <c r="AE14" s="2">
        <f>AVERAGE(All_India_Index_Upto_April23_CPI_data[[#This Row],[Recreation and amusement]],All_India_Index_Upto_April23_CPI_data[[#This Row],[Pan, tobacco and intoxicants]])</f>
        <v>106.55</v>
      </c>
      <c r="AF14" s="2">
        <f>AVERAGE(All_India_Index_Upto_April23_CPI_data[[#This Row],[Household goods and services]],All_India_Index_Upto_April23_CPI_data[[#This Row],[Housing]])</f>
        <v>53.4</v>
      </c>
      <c r="AG14" s="2">
        <f>AVERAGE(All_India_Index_Upto_April23_CPI_data[[#This Row],[Personal care and effects]],All_India_Index_Upto_April23_CPI_data[[#This Row],[Health]])</f>
        <v>103.9</v>
      </c>
      <c r="AH14" s="2">
        <f>AVERAGE(All_India_Index_Upto_April23_CPI_data[[#This Row],[Clothing]:[Clothing and footwear]])</f>
        <v>108.43333333333332</v>
      </c>
      <c r="AI14" s="2">
        <v>107.2</v>
      </c>
      <c r="AJ14" s="1">
        <f>(All_India_Index_Upto_April23_CPI_data[[#This Row],[General index]]-AI11)/AI11</f>
        <v>7.5187969924811757E-3</v>
      </c>
      <c r="AQ14" t="s">
        <v>30</v>
      </c>
      <c r="AR14">
        <v>2022</v>
      </c>
      <c r="AS14" t="s">
        <v>41</v>
      </c>
      <c r="AT14" s="2">
        <v>162.9</v>
      </c>
      <c r="AU14" s="2">
        <v>206.7</v>
      </c>
      <c r="AV14" s="2">
        <v>169</v>
      </c>
      <c r="AW14" s="2">
        <v>169.5</v>
      </c>
      <c r="AX14" s="2">
        <v>194.1</v>
      </c>
      <c r="AY14" s="2">
        <v>164.1</v>
      </c>
      <c r="AZ14" s="2">
        <v>176.9</v>
      </c>
      <c r="BA14" s="2">
        <v>169</v>
      </c>
      <c r="BB14" s="2">
        <v>120.8</v>
      </c>
      <c r="BC14" s="2">
        <v>199.1</v>
      </c>
      <c r="BD14" s="2">
        <v>175.4</v>
      </c>
      <c r="BE14" s="2">
        <v>184.8</v>
      </c>
      <c r="BF14" s="2">
        <v>175.5</v>
      </c>
      <c r="BG14" s="2">
        <v>174.44615384615386</v>
      </c>
      <c r="BH14" s="2">
        <f t="shared" si="1"/>
        <v>0.92307692307696243</v>
      </c>
      <c r="BI14" s="1">
        <f t="shared" si="2"/>
        <v>5.3196205337354878E-3</v>
      </c>
      <c r="BJ14" s="2"/>
      <c r="BK14" s="2"/>
      <c r="BL14" s="2"/>
      <c r="BM14" s="2"/>
      <c r="BN14" s="2"/>
      <c r="BO14" t="s">
        <v>30</v>
      </c>
      <c r="BP14">
        <v>2021</v>
      </c>
      <c r="BQ14" t="s">
        <v>37</v>
      </c>
      <c r="BR14" s="11">
        <f t="shared" si="0"/>
        <v>44317</v>
      </c>
      <c r="BS14" s="2">
        <v>145.1</v>
      </c>
      <c r="BT14" s="2">
        <v>198.5</v>
      </c>
      <c r="BU14" s="2">
        <v>168.6</v>
      </c>
      <c r="BV14" s="2">
        <v>155.80000000000001</v>
      </c>
      <c r="BW14" s="2">
        <v>184.4</v>
      </c>
      <c r="BX14" s="2">
        <v>162.30000000000001</v>
      </c>
      <c r="BY14" s="2">
        <v>138.4</v>
      </c>
      <c r="BZ14" s="2">
        <v>165.1</v>
      </c>
      <c r="CA14" s="2">
        <v>114.3</v>
      </c>
      <c r="CB14" s="2">
        <v>169.7</v>
      </c>
      <c r="CC14" s="2">
        <v>164.6</v>
      </c>
      <c r="CD14" s="2">
        <v>169.8</v>
      </c>
      <c r="CE14" s="2">
        <v>158.69999999999999</v>
      </c>
      <c r="CF14" s="2">
        <v>189.6</v>
      </c>
      <c r="CG14" s="2">
        <v>165.3</v>
      </c>
      <c r="CH14" s="2">
        <v>160.6</v>
      </c>
      <c r="CI14" s="2">
        <v>164.5</v>
      </c>
      <c r="CJ14" s="2">
        <v>0</v>
      </c>
      <c r="CK14" s="2">
        <v>161.69999999999999</v>
      </c>
      <c r="CL14" s="2">
        <v>158.80000000000001</v>
      </c>
      <c r="CM14" s="2">
        <v>169.1</v>
      </c>
      <c r="CN14" s="2">
        <v>153.19999999999999</v>
      </c>
      <c r="CO14" s="2">
        <v>160</v>
      </c>
      <c r="CP14" s="2">
        <v>167.6</v>
      </c>
      <c r="CQ14" s="2">
        <v>159.30000000000001</v>
      </c>
      <c r="CR14" s="2">
        <v>161.1</v>
      </c>
      <c r="CS14" s="2">
        <v>161.17692307692306</v>
      </c>
      <c r="CT14" s="2">
        <v>174.8</v>
      </c>
      <c r="CU14" s="2">
        <v>79.400000000000006</v>
      </c>
      <c r="CV14" s="2">
        <v>164.2</v>
      </c>
      <c r="CW14" s="2">
        <v>163.46666666666667</v>
      </c>
      <c r="CX14" s="2">
        <v>161.1</v>
      </c>
      <c r="CY14" s="1">
        <v>2.2208121827411168E-2</v>
      </c>
      <c r="CZ14">
        <f>VLOOKUP(BR14,'OIL PRICE'!$A$1:$B$27,2,0)</f>
        <v>66.95</v>
      </c>
    </row>
    <row r="15" spans="1:131" x14ac:dyDescent="0.25">
      <c r="A15" t="s">
        <v>32</v>
      </c>
      <c r="B15">
        <v>2013</v>
      </c>
      <c r="C15" t="s">
        <v>37</v>
      </c>
      <c r="D15" s="2">
        <v>115.4</v>
      </c>
      <c r="E15" s="2">
        <v>114.2</v>
      </c>
      <c r="F15" s="2">
        <v>102.7</v>
      </c>
      <c r="G15" s="2">
        <v>105.5</v>
      </c>
      <c r="H15" s="2">
        <v>101.5</v>
      </c>
      <c r="I15" s="2">
        <v>110.6</v>
      </c>
      <c r="J15" s="2">
        <v>123.7</v>
      </c>
      <c r="K15" s="2">
        <v>105.2</v>
      </c>
      <c r="L15" s="2">
        <v>101.9</v>
      </c>
      <c r="M15" s="2">
        <v>105</v>
      </c>
      <c r="N15" s="2">
        <v>109.1</v>
      </c>
      <c r="O15" s="2">
        <v>111.3</v>
      </c>
      <c r="P15" s="2">
        <v>111.1</v>
      </c>
      <c r="Q15" s="2">
        <v>109.8</v>
      </c>
      <c r="R15" s="2">
        <v>108.5</v>
      </c>
      <c r="S15" s="2">
        <v>106.7</v>
      </c>
      <c r="T15" s="2">
        <v>108.3</v>
      </c>
      <c r="U15" s="2">
        <v>100.5</v>
      </c>
      <c r="V15" s="2">
        <v>107.2</v>
      </c>
      <c r="W15" s="2">
        <v>107.1</v>
      </c>
      <c r="X15" s="2">
        <v>106.2</v>
      </c>
      <c r="Y15" s="2">
        <v>103.9</v>
      </c>
      <c r="Z15" s="2">
        <v>104.6</v>
      </c>
      <c r="AA15" s="2">
        <v>105.7</v>
      </c>
      <c r="AB15" s="2">
        <v>102.6</v>
      </c>
      <c r="AC15" s="2">
        <v>104.9</v>
      </c>
      <c r="AD15" s="2">
        <f>AVERAGE(All_India_Index_Upto_April23_CPI_data[[#This Row],[Cereals and products]:[Food and beverages]])</f>
        <v>109.0153846153846</v>
      </c>
      <c r="AE15" s="2">
        <f>AVERAGE(All_India_Index_Upto_April23_CPI_data[[#This Row],[Recreation and amusement]],All_India_Index_Upto_April23_CPI_data[[#This Row],[Pan, tobacco and intoxicants]])</f>
        <v>107.19999999999999</v>
      </c>
      <c r="AF15" s="2">
        <f>AVERAGE(All_India_Index_Upto_April23_CPI_data[[#This Row],[Household goods and services]],All_India_Index_Upto_April23_CPI_data[[#This Row],[Housing]])</f>
        <v>103.8</v>
      </c>
      <c r="AG15" s="2">
        <f>AVERAGE(All_India_Index_Upto_April23_CPI_data[[#This Row],[Personal care and effects]],All_India_Index_Upto_April23_CPI_data[[#This Row],[Health]])</f>
        <v>104.4</v>
      </c>
      <c r="AH15" s="2">
        <f>AVERAGE(All_India_Index_Upto_April23_CPI_data[[#This Row],[Clothing]:[Clothing and footwear]])</f>
        <v>107.83333333333333</v>
      </c>
      <c r="AI15" s="2">
        <v>106.6</v>
      </c>
      <c r="AJ15" s="1">
        <f>(All_India_Index_Upto_April23_CPI_data[[#This Row],[General index]]-AI12)/AI12</f>
        <v>8.514664143803136E-3</v>
      </c>
      <c r="AQ15" t="s">
        <v>32</v>
      </c>
      <c r="AR15">
        <v>2022</v>
      </c>
      <c r="AS15" t="s">
        <v>41</v>
      </c>
      <c r="AT15" s="2">
        <v>164.9</v>
      </c>
      <c r="AU15" s="2">
        <v>213.7</v>
      </c>
      <c r="AV15" s="2">
        <v>170.9</v>
      </c>
      <c r="AW15" s="2">
        <v>170.1</v>
      </c>
      <c r="AX15" s="2">
        <v>179.3</v>
      </c>
      <c r="AY15" s="2">
        <v>167.5</v>
      </c>
      <c r="AZ15" s="2">
        <v>220.8</v>
      </c>
      <c r="BA15" s="2">
        <v>169.2</v>
      </c>
      <c r="BB15" s="2">
        <v>123.1</v>
      </c>
      <c r="BC15" s="2">
        <v>193.6</v>
      </c>
      <c r="BD15" s="2">
        <v>161.1</v>
      </c>
      <c r="BE15" s="2">
        <v>190.4</v>
      </c>
      <c r="BF15" s="2">
        <v>181.8</v>
      </c>
      <c r="BG15" s="2">
        <v>177.41538461538462</v>
      </c>
      <c r="BH15" s="2">
        <f t="shared" si="1"/>
        <v>0.9769230769231001</v>
      </c>
      <c r="BI15" s="1">
        <f t="shared" si="2"/>
        <v>5.5369054366309033E-3</v>
      </c>
      <c r="BJ15" s="2"/>
      <c r="BK15" s="2"/>
      <c r="BL15" s="2"/>
      <c r="BM15" s="2"/>
      <c r="BN15" s="2"/>
      <c r="BO15" t="s">
        <v>32</v>
      </c>
      <c r="BP15">
        <v>2021</v>
      </c>
      <c r="BQ15" t="s">
        <v>37</v>
      </c>
      <c r="BR15" s="11">
        <f t="shared" si="0"/>
        <v>44317</v>
      </c>
      <c r="BS15" s="2">
        <v>148.80000000000001</v>
      </c>
      <c r="BT15" s="2">
        <v>204.3</v>
      </c>
      <c r="BU15" s="2">
        <v>173</v>
      </c>
      <c r="BV15" s="2">
        <v>156.5</v>
      </c>
      <c r="BW15" s="2">
        <v>168.8</v>
      </c>
      <c r="BX15" s="2">
        <v>172.5</v>
      </c>
      <c r="BY15" s="2">
        <v>166.5</v>
      </c>
      <c r="BZ15" s="2">
        <v>165.9</v>
      </c>
      <c r="CA15" s="2">
        <v>115.9</v>
      </c>
      <c r="CB15" s="2">
        <v>165.2</v>
      </c>
      <c r="CC15" s="2">
        <v>152</v>
      </c>
      <c r="CD15" s="2">
        <v>171.1</v>
      </c>
      <c r="CE15" s="2">
        <v>164.2</v>
      </c>
      <c r="CF15" s="2">
        <v>198.2</v>
      </c>
      <c r="CG15" s="2">
        <v>156.5</v>
      </c>
      <c r="CH15" s="2">
        <v>140.19999999999999</v>
      </c>
      <c r="CI15" s="2">
        <v>154.1</v>
      </c>
      <c r="CJ15" s="2">
        <v>161.6</v>
      </c>
      <c r="CK15" s="2">
        <v>155.5</v>
      </c>
      <c r="CL15" s="2">
        <v>150.1</v>
      </c>
      <c r="CM15" s="2">
        <v>160.4</v>
      </c>
      <c r="CN15" s="2">
        <v>145</v>
      </c>
      <c r="CO15" s="2">
        <v>152.6</v>
      </c>
      <c r="CP15" s="2">
        <v>156.6</v>
      </c>
      <c r="CQ15" s="2">
        <v>157.5</v>
      </c>
      <c r="CR15" s="2">
        <v>152.30000000000001</v>
      </c>
      <c r="CS15" s="2">
        <v>163.43846153846155</v>
      </c>
      <c r="CT15" s="2">
        <v>175.39999999999998</v>
      </c>
      <c r="CU15" s="2">
        <v>155.85</v>
      </c>
      <c r="CV15" s="2">
        <v>158.94999999999999</v>
      </c>
      <c r="CW15" s="2">
        <v>150.26666666666665</v>
      </c>
      <c r="CX15" s="2">
        <v>159.5</v>
      </c>
      <c r="CY15" s="1">
        <v>9.4936708860759497E-3</v>
      </c>
      <c r="CZ15">
        <f>VLOOKUP(BR15,'OIL PRICE'!$A$1:$B$27,2,0)</f>
        <v>66.95</v>
      </c>
    </row>
    <row r="16" spans="1:131" x14ac:dyDescent="0.25">
      <c r="A16" t="s">
        <v>33</v>
      </c>
      <c r="B16">
        <v>2013</v>
      </c>
      <c r="C16" t="s">
        <v>37</v>
      </c>
      <c r="D16" s="2">
        <v>112.3</v>
      </c>
      <c r="E16" s="2">
        <v>111.3</v>
      </c>
      <c r="F16" s="2">
        <v>104.7</v>
      </c>
      <c r="G16" s="2">
        <v>106.8</v>
      </c>
      <c r="H16" s="2">
        <v>103.9</v>
      </c>
      <c r="I16" s="2">
        <v>109.3</v>
      </c>
      <c r="J16" s="2">
        <v>112.9</v>
      </c>
      <c r="K16" s="2">
        <v>105.8</v>
      </c>
      <c r="L16" s="2">
        <v>103.1</v>
      </c>
      <c r="M16" s="2">
        <v>104.3</v>
      </c>
      <c r="N16" s="2">
        <v>108.1</v>
      </c>
      <c r="O16" s="2">
        <v>110.5</v>
      </c>
      <c r="P16" s="2">
        <v>109.2</v>
      </c>
      <c r="Q16" s="2">
        <v>108.6</v>
      </c>
      <c r="R16" s="2">
        <v>108.7</v>
      </c>
      <c r="S16" s="2">
        <v>107.4</v>
      </c>
      <c r="T16" s="2">
        <v>108.5</v>
      </c>
      <c r="U16" s="2">
        <v>100.5</v>
      </c>
      <c r="V16" s="2">
        <v>107.4</v>
      </c>
      <c r="W16" s="2">
        <v>106.9</v>
      </c>
      <c r="X16" s="2">
        <v>105.9</v>
      </c>
      <c r="Y16" s="2">
        <v>104</v>
      </c>
      <c r="Z16" s="2">
        <v>104.8</v>
      </c>
      <c r="AA16" s="2">
        <v>105.6</v>
      </c>
      <c r="AB16" s="2">
        <v>102.3</v>
      </c>
      <c r="AC16" s="2">
        <v>104.8</v>
      </c>
      <c r="AD16" s="2">
        <f>AVERAGE(All_India_Index_Upto_April23_CPI_data[[#This Row],[Cereals and products]:[Food and beverages]])</f>
        <v>107.86153846153844</v>
      </c>
      <c r="AE16" s="2">
        <f>AVERAGE(All_India_Index_Upto_April23_CPI_data[[#This Row],[Recreation and amusement]],All_India_Index_Upto_April23_CPI_data[[#This Row],[Pan, tobacco and intoxicants]])</f>
        <v>106.69999999999999</v>
      </c>
      <c r="AF16" s="2">
        <f>AVERAGE(All_India_Index_Upto_April23_CPI_data[[#This Row],[Household goods and services]],All_India_Index_Upto_April23_CPI_data[[#This Row],[Housing]])</f>
        <v>103.7</v>
      </c>
      <c r="AG16" s="2">
        <f>AVERAGE(All_India_Index_Upto_April23_CPI_data[[#This Row],[Personal care and effects]],All_India_Index_Upto_April23_CPI_data[[#This Row],[Health]])</f>
        <v>104.1</v>
      </c>
      <c r="AH16" s="2">
        <f>AVERAGE(All_India_Index_Upto_April23_CPI_data[[#This Row],[Clothing]:[Clothing and footwear]])</f>
        <v>108.2</v>
      </c>
      <c r="AI16" s="2">
        <v>106.9</v>
      </c>
      <c r="AJ16" s="1">
        <f>(All_India_Index_Upto_April23_CPI_data[[#This Row],[General index]]-AI13)/AI13</f>
        <v>7.5400565504242355E-3</v>
      </c>
      <c r="AQ16" t="s">
        <v>33</v>
      </c>
      <c r="AR16">
        <v>2022</v>
      </c>
      <c r="AS16" t="s">
        <v>41</v>
      </c>
      <c r="AT16" s="2">
        <v>163.5</v>
      </c>
      <c r="AU16" s="2">
        <v>209.2</v>
      </c>
      <c r="AV16" s="2">
        <v>169.7</v>
      </c>
      <c r="AW16" s="2">
        <v>169.7</v>
      </c>
      <c r="AX16" s="2">
        <v>188.7</v>
      </c>
      <c r="AY16" s="2">
        <v>165.7</v>
      </c>
      <c r="AZ16" s="2">
        <v>191.8</v>
      </c>
      <c r="BA16" s="2">
        <v>169.1</v>
      </c>
      <c r="BB16" s="2">
        <v>121.6</v>
      </c>
      <c r="BC16" s="2">
        <v>197.3</v>
      </c>
      <c r="BD16" s="2">
        <v>169.4</v>
      </c>
      <c r="BE16" s="2">
        <v>187.4</v>
      </c>
      <c r="BF16" s="2">
        <v>177.8</v>
      </c>
      <c r="BG16" s="2">
        <v>175.45384615384617</v>
      </c>
      <c r="BH16" s="2">
        <f t="shared" si="1"/>
        <v>0.90000000000000568</v>
      </c>
      <c r="BI16" s="1">
        <f t="shared" si="2"/>
        <v>5.1560021152829514E-3</v>
      </c>
      <c r="BJ16" s="2"/>
      <c r="BK16" s="2"/>
      <c r="BL16" s="2"/>
      <c r="BM16" s="2"/>
      <c r="BN16" s="2"/>
      <c r="BO16" t="s">
        <v>33</v>
      </c>
      <c r="BP16">
        <v>2021</v>
      </c>
      <c r="BQ16" t="s">
        <v>37</v>
      </c>
      <c r="BR16" s="11">
        <f t="shared" si="0"/>
        <v>44317</v>
      </c>
      <c r="BS16" s="2">
        <v>146.30000000000001</v>
      </c>
      <c r="BT16" s="2">
        <v>200.5</v>
      </c>
      <c r="BU16" s="2">
        <v>170.3</v>
      </c>
      <c r="BV16" s="2">
        <v>156.1</v>
      </c>
      <c r="BW16" s="2">
        <v>178.7</v>
      </c>
      <c r="BX16" s="2">
        <v>167.1</v>
      </c>
      <c r="BY16" s="2">
        <v>147.9</v>
      </c>
      <c r="BZ16" s="2">
        <v>165.4</v>
      </c>
      <c r="CA16" s="2">
        <v>114.8</v>
      </c>
      <c r="CB16" s="2">
        <v>168.2</v>
      </c>
      <c r="CC16" s="2">
        <v>159.30000000000001</v>
      </c>
      <c r="CD16" s="2">
        <v>170.4</v>
      </c>
      <c r="CE16" s="2">
        <v>160.69999999999999</v>
      </c>
      <c r="CF16" s="2">
        <v>191.9</v>
      </c>
      <c r="CG16" s="2">
        <v>161.80000000000001</v>
      </c>
      <c r="CH16" s="2">
        <v>152.1</v>
      </c>
      <c r="CI16" s="2">
        <v>160.4</v>
      </c>
      <c r="CJ16" s="2">
        <v>161.6</v>
      </c>
      <c r="CK16" s="2">
        <v>159.4</v>
      </c>
      <c r="CL16" s="2">
        <v>154.69999999999999</v>
      </c>
      <c r="CM16" s="2">
        <v>165.8</v>
      </c>
      <c r="CN16" s="2">
        <v>148.9</v>
      </c>
      <c r="CO16" s="2">
        <v>155.80000000000001</v>
      </c>
      <c r="CP16" s="2">
        <v>161.19999999999999</v>
      </c>
      <c r="CQ16" s="2">
        <v>158.6</v>
      </c>
      <c r="CR16" s="2">
        <v>156.80000000000001</v>
      </c>
      <c r="CS16" s="2">
        <v>161.9769230769231</v>
      </c>
      <c r="CT16" s="2">
        <v>173.85000000000002</v>
      </c>
      <c r="CU16" s="2">
        <v>158.14999999999998</v>
      </c>
      <c r="CV16" s="2">
        <v>162.19999999999999</v>
      </c>
      <c r="CW16" s="2">
        <v>158.1</v>
      </c>
      <c r="CX16" s="2">
        <v>160.4</v>
      </c>
      <c r="CY16" s="1">
        <v>1.6476552598225565E-2</v>
      </c>
      <c r="CZ16">
        <f>VLOOKUP(BR16,'OIL PRICE'!$A$1:$B$27,2,0)</f>
        <v>66.95</v>
      </c>
    </row>
    <row r="17" spans="1:104" x14ac:dyDescent="0.25">
      <c r="A17" t="s">
        <v>30</v>
      </c>
      <c r="B17">
        <v>2013</v>
      </c>
      <c r="C17" t="s">
        <v>38</v>
      </c>
      <c r="D17" s="2">
        <v>112.3</v>
      </c>
      <c r="E17" s="2">
        <v>112.1</v>
      </c>
      <c r="F17" s="2">
        <v>108.1</v>
      </c>
      <c r="G17" s="2">
        <v>108.3</v>
      </c>
      <c r="H17" s="2">
        <v>105.9</v>
      </c>
      <c r="I17" s="2">
        <v>109.2</v>
      </c>
      <c r="J17" s="2">
        <v>118</v>
      </c>
      <c r="K17" s="2">
        <v>106.8</v>
      </c>
      <c r="L17" s="2">
        <v>104.1</v>
      </c>
      <c r="M17" s="2">
        <v>105.4</v>
      </c>
      <c r="N17" s="2">
        <v>108.2</v>
      </c>
      <c r="O17" s="2">
        <v>111</v>
      </c>
      <c r="P17" s="2">
        <v>110.6</v>
      </c>
      <c r="Q17" s="2">
        <v>109</v>
      </c>
      <c r="R17" s="2">
        <v>109.7</v>
      </c>
      <c r="S17" s="2">
        <v>108.8</v>
      </c>
      <c r="T17" s="2">
        <v>109.5</v>
      </c>
      <c r="U17" s="2">
        <v>0</v>
      </c>
      <c r="V17" s="2">
        <v>108.5</v>
      </c>
      <c r="W17" s="2">
        <v>107.5</v>
      </c>
      <c r="X17" s="2">
        <v>106.3</v>
      </c>
      <c r="Y17" s="2">
        <v>105</v>
      </c>
      <c r="Z17" s="2">
        <v>105.6</v>
      </c>
      <c r="AA17" s="2">
        <v>106.5</v>
      </c>
      <c r="AB17" s="2">
        <v>102.5</v>
      </c>
      <c r="AC17" s="2">
        <v>105.5</v>
      </c>
      <c r="AD17" s="2">
        <f>AVERAGE(All_India_Index_Upto_April23_CPI_data[[#This Row],[Cereals and products]:[Food and beverages]])</f>
        <v>109.23076923076923</v>
      </c>
      <c r="AE17" s="2">
        <f>AVERAGE(All_India_Index_Upto_April23_CPI_data[[#This Row],[Recreation and amusement]],All_India_Index_Upto_April23_CPI_data[[#This Row],[Pan, tobacco and intoxicants]])</f>
        <v>107.3</v>
      </c>
      <c r="AF17" s="2">
        <f>AVERAGE(All_India_Index_Upto_April23_CPI_data[[#This Row],[Household goods and services]],All_India_Index_Upto_April23_CPI_data[[#This Row],[Housing]])</f>
        <v>53.75</v>
      </c>
      <c r="AG17" s="2">
        <f>AVERAGE(All_India_Index_Upto_April23_CPI_data[[#This Row],[Personal care and effects]],All_India_Index_Upto_April23_CPI_data[[#This Row],[Health]])</f>
        <v>104.4</v>
      </c>
      <c r="AH17" s="2">
        <f>AVERAGE(All_India_Index_Upto_April23_CPI_data[[#This Row],[Clothing]:[Clothing and footwear]])</f>
        <v>109.33333333333333</v>
      </c>
      <c r="AI17" s="2">
        <v>108.9</v>
      </c>
      <c r="AJ17" s="1">
        <f>(All_India_Index_Upto_April23_CPI_data[[#This Row],[General index]]-AI14)/AI14</f>
        <v>1.5858208955223906E-2</v>
      </c>
      <c r="AQ17" t="s">
        <v>30</v>
      </c>
      <c r="AR17">
        <v>2022</v>
      </c>
      <c r="AS17" t="s">
        <v>42</v>
      </c>
      <c r="AT17" s="2">
        <v>164.7</v>
      </c>
      <c r="AU17" s="2">
        <v>208.8</v>
      </c>
      <c r="AV17" s="2">
        <v>170.3</v>
      </c>
      <c r="AW17" s="2">
        <v>170.9</v>
      </c>
      <c r="AX17" s="2">
        <v>191.6</v>
      </c>
      <c r="AY17" s="2">
        <v>162.19999999999999</v>
      </c>
      <c r="AZ17" s="2">
        <v>184.8</v>
      </c>
      <c r="BA17" s="2">
        <v>169.7</v>
      </c>
      <c r="BB17" s="2">
        <v>121.1</v>
      </c>
      <c r="BC17" s="2">
        <v>201.6</v>
      </c>
      <c r="BD17" s="2">
        <v>175.8</v>
      </c>
      <c r="BE17" s="2">
        <v>185.6</v>
      </c>
      <c r="BF17" s="2">
        <v>177.4</v>
      </c>
      <c r="BG17" s="2">
        <v>175.73076923076923</v>
      </c>
      <c r="BH17" s="2">
        <f t="shared" si="1"/>
        <v>1.2846153846153641</v>
      </c>
      <c r="BI17" s="1">
        <f t="shared" si="2"/>
        <v>7.3639650762852681E-3</v>
      </c>
      <c r="BJ17" s="2"/>
      <c r="BK17" s="2"/>
      <c r="BL17" s="2"/>
      <c r="BM17" s="2"/>
      <c r="BN17" s="2"/>
      <c r="BO17" t="s">
        <v>30</v>
      </c>
      <c r="BP17">
        <v>2021</v>
      </c>
      <c r="BQ17" t="s">
        <v>38</v>
      </c>
      <c r="BR17" s="11">
        <f t="shared" si="0"/>
        <v>44348</v>
      </c>
      <c r="BS17" s="2">
        <v>145.6</v>
      </c>
      <c r="BT17" s="2">
        <v>200.1</v>
      </c>
      <c r="BU17" s="2">
        <v>179.3</v>
      </c>
      <c r="BV17" s="2">
        <v>156.1</v>
      </c>
      <c r="BW17" s="2">
        <v>190.4</v>
      </c>
      <c r="BX17" s="2">
        <v>158.6</v>
      </c>
      <c r="BY17" s="2">
        <v>144.69999999999999</v>
      </c>
      <c r="BZ17" s="2">
        <v>165.5</v>
      </c>
      <c r="CA17" s="2">
        <v>114.6</v>
      </c>
      <c r="CB17" s="2">
        <v>170</v>
      </c>
      <c r="CC17" s="2">
        <v>165.5</v>
      </c>
      <c r="CD17" s="2">
        <v>171.7</v>
      </c>
      <c r="CE17" s="2">
        <v>160.5</v>
      </c>
      <c r="CF17" s="2">
        <v>189.1</v>
      </c>
      <c r="CG17" s="2">
        <v>165.3</v>
      </c>
      <c r="CH17" s="2">
        <v>159.9</v>
      </c>
      <c r="CI17" s="2">
        <v>164.6</v>
      </c>
      <c r="CJ17" s="2">
        <v>0</v>
      </c>
      <c r="CK17" s="2">
        <v>162.1</v>
      </c>
      <c r="CL17" s="2">
        <v>159.19999999999999</v>
      </c>
      <c r="CM17" s="2">
        <v>169.7</v>
      </c>
      <c r="CN17" s="2">
        <v>154.19999999999999</v>
      </c>
      <c r="CO17" s="2">
        <v>160.4</v>
      </c>
      <c r="CP17" s="2">
        <v>166.8</v>
      </c>
      <c r="CQ17" s="2">
        <v>159.4</v>
      </c>
      <c r="CR17" s="2">
        <v>161.5</v>
      </c>
      <c r="CS17" s="2">
        <v>163.27692307692308</v>
      </c>
      <c r="CT17" s="2">
        <v>174.75</v>
      </c>
      <c r="CU17" s="2">
        <v>79.599999999999994</v>
      </c>
      <c r="CV17" s="2">
        <v>164.55</v>
      </c>
      <c r="CW17" s="2">
        <v>163.26666666666668</v>
      </c>
      <c r="CX17" s="2">
        <v>162.1</v>
      </c>
      <c r="CY17" s="1">
        <v>6.2073246430788334E-3</v>
      </c>
      <c r="CZ17">
        <f>VLOOKUP(BR17,'OIL PRICE'!$A$1:$B$27,2,0)</f>
        <v>71.98</v>
      </c>
    </row>
    <row r="18" spans="1:104" x14ac:dyDescent="0.25">
      <c r="A18" t="s">
        <v>32</v>
      </c>
      <c r="B18">
        <v>2013</v>
      </c>
      <c r="C18" t="s">
        <v>38</v>
      </c>
      <c r="D18" s="2">
        <v>117</v>
      </c>
      <c r="E18" s="2">
        <v>120.1</v>
      </c>
      <c r="F18" s="2">
        <v>112.5</v>
      </c>
      <c r="G18" s="2">
        <v>107.3</v>
      </c>
      <c r="H18" s="2">
        <v>101.3</v>
      </c>
      <c r="I18" s="2">
        <v>112.4</v>
      </c>
      <c r="J18" s="2">
        <v>143.6</v>
      </c>
      <c r="K18" s="2">
        <v>105.4</v>
      </c>
      <c r="L18" s="2">
        <v>101.4</v>
      </c>
      <c r="M18" s="2">
        <v>106.4</v>
      </c>
      <c r="N18" s="2">
        <v>110</v>
      </c>
      <c r="O18" s="2">
        <v>112.2</v>
      </c>
      <c r="P18" s="2">
        <v>115</v>
      </c>
      <c r="Q18" s="2">
        <v>110.9</v>
      </c>
      <c r="R18" s="2">
        <v>109.2</v>
      </c>
      <c r="S18" s="2">
        <v>107.2</v>
      </c>
      <c r="T18" s="2">
        <v>108.9</v>
      </c>
      <c r="U18" s="2">
        <v>106.6</v>
      </c>
      <c r="V18" s="2">
        <v>108</v>
      </c>
      <c r="W18" s="2">
        <v>107.7</v>
      </c>
      <c r="X18" s="2">
        <v>106.5</v>
      </c>
      <c r="Y18" s="2">
        <v>105.2</v>
      </c>
      <c r="Z18" s="2">
        <v>105.2</v>
      </c>
      <c r="AA18" s="2">
        <v>108.1</v>
      </c>
      <c r="AB18" s="2">
        <v>103.3</v>
      </c>
      <c r="AC18" s="2">
        <v>106.1</v>
      </c>
      <c r="AD18" s="2">
        <f>AVERAGE(All_India_Index_Upto_April23_CPI_data[[#This Row],[Cereals and products]:[Food and beverages]])</f>
        <v>112.66153846153847</v>
      </c>
      <c r="AE18" s="2">
        <f>AVERAGE(All_India_Index_Upto_April23_CPI_data[[#This Row],[Recreation and amusement]],All_India_Index_Upto_April23_CPI_data[[#This Row],[Pan, tobacco and intoxicants]])</f>
        <v>108.05000000000001</v>
      </c>
      <c r="AF18" s="2">
        <f>AVERAGE(All_India_Index_Upto_April23_CPI_data[[#This Row],[Household goods and services]],All_India_Index_Upto_April23_CPI_data[[#This Row],[Housing]])</f>
        <v>107.15</v>
      </c>
      <c r="AG18" s="2">
        <f>AVERAGE(All_India_Index_Upto_April23_CPI_data[[#This Row],[Personal care and effects]],All_India_Index_Upto_April23_CPI_data[[#This Row],[Health]])</f>
        <v>104.9</v>
      </c>
      <c r="AH18" s="2">
        <f>AVERAGE(All_India_Index_Upto_April23_CPI_data[[#This Row],[Clothing]:[Clothing and footwear]])</f>
        <v>108.43333333333334</v>
      </c>
      <c r="AI18" s="2">
        <v>109.7</v>
      </c>
      <c r="AJ18" s="1">
        <f>(All_India_Index_Upto_April23_CPI_data[[#This Row],[General index]]-AI15)/AI15</f>
        <v>2.9080675422138918E-2</v>
      </c>
      <c r="AQ18" t="s">
        <v>32</v>
      </c>
      <c r="AR18">
        <v>2022</v>
      </c>
      <c r="AS18" t="s">
        <v>42</v>
      </c>
      <c r="AT18" s="2">
        <v>166.4</v>
      </c>
      <c r="AU18" s="2">
        <v>214.9</v>
      </c>
      <c r="AV18" s="2">
        <v>171.9</v>
      </c>
      <c r="AW18" s="2">
        <v>171</v>
      </c>
      <c r="AX18" s="2">
        <v>177.7</v>
      </c>
      <c r="AY18" s="2">
        <v>165.7</v>
      </c>
      <c r="AZ18" s="2">
        <v>228.6</v>
      </c>
      <c r="BA18" s="2">
        <v>169.9</v>
      </c>
      <c r="BB18" s="2">
        <v>123.4</v>
      </c>
      <c r="BC18" s="2">
        <v>196.4</v>
      </c>
      <c r="BD18" s="2">
        <v>161.6</v>
      </c>
      <c r="BE18" s="2">
        <v>191.5</v>
      </c>
      <c r="BF18" s="2">
        <v>183.3</v>
      </c>
      <c r="BG18" s="2">
        <v>178.63846153846154</v>
      </c>
      <c r="BH18" s="2">
        <f t="shared" si="1"/>
        <v>1.223076923076917</v>
      </c>
      <c r="BI18" s="1">
        <f t="shared" si="2"/>
        <v>6.8938605619146371E-3</v>
      </c>
      <c r="BJ18" s="2"/>
      <c r="BK18" s="2"/>
      <c r="BL18" s="2"/>
      <c r="BM18" s="2"/>
      <c r="BN18" s="2"/>
      <c r="BO18" t="s">
        <v>32</v>
      </c>
      <c r="BP18">
        <v>2021</v>
      </c>
      <c r="BQ18" t="s">
        <v>38</v>
      </c>
      <c r="BR18" s="11">
        <f t="shared" si="0"/>
        <v>44348</v>
      </c>
      <c r="BS18" s="2">
        <v>149.19999999999999</v>
      </c>
      <c r="BT18" s="2">
        <v>205.5</v>
      </c>
      <c r="BU18" s="2">
        <v>182.8</v>
      </c>
      <c r="BV18" s="2">
        <v>156.5</v>
      </c>
      <c r="BW18" s="2">
        <v>172.2</v>
      </c>
      <c r="BX18" s="2">
        <v>171.5</v>
      </c>
      <c r="BY18" s="2">
        <v>176.2</v>
      </c>
      <c r="BZ18" s="2">
        <v>166.9</v>
      </c>
      <c r="CA18" s="2">
        <v>116.1</v>
      </c>
      <c r="CB18" s="2">
        <v>165.5</v>
      </c>
      <c r="CC18" s="2">
        <v>152.30000000000001</v>
      </c>
      <c r="CD18" s="2">
        <v>173.3</v>
      </c>
      <c r="CE18" s="2">
        <v>166.2</v>
      </c>
      <c r="CF18" s="2">
        <v>195.6</v>
      </c>
      <c r="CG18" s="2">
        <v>157.30000000000001</v>
      </c>
      <c r="CH18" s="2">
        <v>140.5</v>
      </c>
      <c r="CI18" s="2">
        <v>154.80000000000001</v>
      </c>
      <c r="CJ18" s="2">
        <v>160.5</v>
      </c>
      <c r="CK18" s="2">
        <v>156.1</v>
      </c>
      <c r="CL18" s="2">
        <v>149.80000000000001</v>
      </c>
      <c r="CM18" s="2">
        <v>160.80000000000001</v>
      </c>
      <c r="CN18" s="2">
        <v>147.5</v>
      </c>
      <c r="CO18" s="2">
        <v>150.69999999999999</v>
      </c>
      <c r="CP18" s="2">
        <v>158.1</v>
      </c>
      <c r="CQ18" s="2">
        <v>158</v>
      </c>
      <c r="CR18" s="2">
        <v>153.4</v>
      </c>
      <c r="CS18" s="2">
        <v>165.7076923076923</v>
      </c>
      <c r="CT18" s="2">
        <v>173.14999999999998</v>
      </c>
      <c r="CU18" s="2">
        <v>155.15</v>
      </c>
      <c r="CV18" s="2">
        <v>159.4</v>
      </c>
      <c r="CW18" s="2">
        <v>150.86666666666667</v>
      </c>
      <c r="CX18" s="2">
        <v>160.4</v>
      </c>
      <c r="CY18" s="1">
        <v>5.6426332288401614E-3</v>
      </c>
      <c r="CZ18">
        <f>VLOOKUP(BR18,'OIL PRICE'!$A$1:$B$27,2,0)</f>
        <v>71.98</v>
      </c>
    </row>
    <row r="19" spans="1:104" x14ac:dyDescent="0.25">
      <c r="A19" t="s">
        <v>33</v>
      </c>
      <c r="B19">
        <v>2013</v>
      </c>
      <c r="C19" t="s">
        <v>38</v>
      </c>
      <c r="D19" s="2">
        <v>113.8</v>
      </c>
      <c r="E19" s="2">
        <v>114.9</v>
      </c>
      <c r="F19" s="2">
        <v>109.8</v>
      </c>
      <c r="G19" s="2">
        <v>107.9</v>
      </c>
      <c r="H19" s="2">
        <v>104.2</v>
      </c>
      <c r="I19" s="2">
        <v>110.7</v>
      </c>
      <c r="J19" s="2">
        <v>126.7</v>
      </c>
      <c r="K19" s="2">
        <v>106.3</v>
      </c>
      <c r="L19" s="2">
        <v>103.2</v>
      </c>
      <c r="M19" s="2">
        <v>105.7</v>
      </c>
      <c r="N19" s="2">
        <v>109</v>
      </c>
      <c r="O19" s="2">
        <v>111.6</v>
      </c>
      <c r="P19" s="2">
        <v>112.2</v>
      </c>
      <c r="Q19" s="2">
        <v>109.5</v>
      </c>
      <c r="R19" s="2">
        <v>109.5</v>
      </c>
      <c r="S19" s="2">
        <v>108.1</v>
      </c>
      <c r="T19" s="2">
        <v>109.3</v>
      </c>
      <c r="U19" s="2">
        <v>106.6</v>
      </c>
      <c r="V19" s="2">
        <v>108.3</v>
      </c>
      <c r="W19" s="2">
        <v>107.6</v>
      </c>
      <c r="X19" s="2">
        <v>106.4</v>
      </c>
      <c r="Y19" s="2">
        <v>105.1</v>
      </c>
      <c r="Z19" s="2">
        <v>105.4</v>
      </c>
      <c r="AA19" s="2">
        <v>107.4</v>
      </c>
      <c r="AB19" s="2">
        <v>102.8</v>
      </c>
      <c r="AC19" s="2">
        <v>105.8</v>
      </c>
      <c r="AD19" s="2">
        <f>AVERAGE(All_India_Index_Upto_April23_CPI_data[[#This Row],[Cereals and products]:[Food and beverages]])</f>
        <v>110.46153846153847</v>
      </c>
      <c r="AE19" s="2">
        <f>AVERAGE(All_India_Index_Upto_April23_CPI_data[[#This Row],[Recreation and amusement]],All_India_Index_Upto_April23_CPI_data[[#This Row],[Pan, tobacco and intoxicants]])</f>
        <v>107.45</v>
      </c>
      <c r="AF19" s="2">
        <f>AVERAGE(All_India_Index_Upto_April23_CPI_data[[#This Row],[Household goods and services]],All_India_Index_Upto_April23_CPI_data[[#This Row],[Housing]])</f>
        <v>107.1</v>
      </c>
      <c r="AG19" s="2">
        <f>AVERAGE(All_India_Index_Upto_April23_CPI_data[[#This Row],[Personal care and effects]],All_India_Index_Upto_April23_CPI_data[[#This Row],[Health]])</f>
        <v>104.6</v>
      </c>
      <c r="AH19" s="2">
        <f>AVERAGE(All_India_Index_Upto_April23_CPI_data[[#This Row],[Clothing]:[Clothing and footwear]])</f>
        <v>108.96666666666665</v>
      </c>
      <c r="AI19" s="2">
        <v>109.3</v>
      </c>
      <c r="AJ19" s="1">
        <f>(All_India_Index_Upto_April23_CPI_data[[#This Row],[General index]]-AI16)/AI16</f>
        <v>2.2450888681010209E-2</v>
      </c>
      <c r="AQ19" t="s">
        <v>33</v>
      </c>
      <c r="AR19">
        <v>2022</v>
      </c>
      <c r="AS19" t="s">
        <v>42</v>
      </c>
      <c r="AT19" s="2">
        <v>165.2</v>
      </c>
      <c r="AU19" s="2">
        <v>210.9</v>
      </c>
      <c r="AV19" s="2">
        <v>170.9</v>
      </c>
      <c r="AW19" s="2">
        <v>170.9</v>
      </c>
      <c r="AX19" s="2">
        <v>186.5</v>
      </c>
      <c r="AY19" s="2">
        <v>163.80000000000001</v>
      </c>
      <c r="AZ19" s="2">
        <v>199.7</v>
      </c>
      <c r="BA19" s="2">
        <v>169.8</v>
      </c>
      <c r="BB19" s="2">
        <v>121.9</v>
      </c>
      <c r="BC19" s="2">
        <v>199.9</v>
      </c>
      <c r="BD19" s="2">
        <v>169.9</v>
      </c>
      <c r="BE19" s="2">
        <v>188.3</v>
      </c>
      <c r="BF19" s="2">
        <v>179.6</v>
      </c>
      <c r="BG19" s="2">
        <v>176.71538461538464</v>
      </c>
      <c r="BH19" s="2">
        <f t="shared" si="1"/>
        <v>1.2615384615384642</v>
      </c>
      <c r="BI19" s="1">
        <f t="shared" si="2"/>
        <v>7.1901442413082701E-3</v>
      </c>
      <c r="BJ19" s="2"/>
      <c r="BK19" s="2"/>
      <c r="BL19" s="2"/>
      <c r="BM19" s="2"/>
      <c r="BN19" s="2"/>
      <c r="BO19" t="s">
        <v>33</v>
      </c>
      <c r="BP19">
        <v>2021</v>
      </c>
      <c r="BQ19" t="s">
        <v>38</v>
      </c>
      <c r="BR19" s="11">
        <f t="shared" si="0"/>
        <v>44348</v>
      </c>
      <c r="BS19" s="2">
        <v>146.69999999999999</v>
      </c>
      <c r="BT19" s="2">
        <v>202</v>
      </c>
      <c r="BU19" s="2">
        <v>180.7</v>
      </c>
      <c r="BV19" s="2">
        <v>156.19999999999999</v>
      </c>
      <c r="BW19" s="2">
        <v>183.7</v>
      </c>
      <c r="BX19" s="2">
        <v>164.6</v>
      </c>
      <c r="BY19" s="2">
        <v>155.4</v>
      </c>
      <c r="BZ19" s="2">
        <v>166</v>
      </c>
      <c r="CA19" s="2">
        <v>115.1</v>
      </c>
      <c r="CB19" s="2">
        <v>168.5</v>
      </c>
      <c r="CC19" s="2">
        <v>160</v>
      </c>
      <c r="CD19" s="2">
        <v>172.4</v>
      </c>
      <c r="CE19" s="2">
        <v>162.6</v>
      </c>
      <c r="CF19" s="2">
        <v>190.8</v>
      </c>
      <c r="CG19" s="2">
        <v>162.19999999999999</v>
      </c>
      <c r="CH19" s="2">
        <v>151.80000000000001</v>
      </c>
      <c r="CI19" s="2">
        <v>160.69999999999999</v>
      </c>
      <c r="CJ19" s="2">
        <v>160.5</v>
      </c>
      <c r="CK19" s="2">
        <v>159.80000000000001</v>
      </c>
      <c r="CL19" s="2">
        <v>154.80000000000001</v>
      </c>
      <c r="CM19" s="2">
        <v>166.3</v>
      </c>
      <c r="CN19" s="2">
        <v>150.69999999999999</v>
      </c>
      <c r="CO19" s="2">
        <v>154.9</v>
      </c>
      <c r="CP19" s="2">
        <v>161.69999999999999</v>
      </c>
      <c r="CQ19" s="2">
        <v>158.80000000000001</v>
      </c>
      <c r="CR19" s="2">
        <v>157.6</v>
      </c>
      <c r="CS19" s="2">
        <v>164.14615384615385</v>
      </c>
      <c r="CT19" s="2">
        <v>172.85000000000002</v>
      </c>
      <c r="CU19" s="2">
        <v>157.65</v>
      </c>
      <c r="CV19" s="2">
        <v>162.55000000000001</v>
      </c>
      <c r="CW19" s="2">
        <v>158.23333333333332</v>
      </c>
      <c r="CX19" s="2">
        <v>161.30000000000001</v>
      </c>
      <c r="CY19" s="1">
        <v>5.6109725685785893E-3</v>
      </c>
      <c r="CZ19">
        <f>VLOOKUP(BR19,'OIL PRICE'!$A$1:$B$27,2,0)</f>
        <v>71.98</v>
      </c>
    </row>
    <row r="20" spans="1:104" x14ac:dyDescent="0.25">
      <c r="A20" t="s">
        <v>30</v>
      </c>
      <c r="B20">
        <v>2013</v>
      </c>
      <c r="C20" t="s">
        <v>39</v>
      </c>
      <c r="D20" s="2">
        <v>113.4</v>
      </c>
      <c r="E20" s="2">
        <v>114.9</v>
      </c>
      <c r="F20" s="2">
        <v>110.5</v>
      </c>
      <c r="G20" s="2">
        <v>109.3</v>
      </c>
      <c r="H20" s="2">
        <v>106.2</v>
      </c>
      <c r="I20" s="2">
        <v>110.3</v>
      </c>
      <c r="J20" s="2">
        <v>129.19999999999999</v>
      </c>
      <c r="K20" s="2">
        <v>107.1</v>
      </c>
      <c r="L20" s="2">
        <v>104.3</v>
      </c>
      <c r="M20" s="2">
        <v>106.4</v>
      </c>
      <c r="N20" s="2">
        <v>109.1</v>
      </c>
      <c r="O20" s="2">
        <v>112.1</v>
      </c>
      <c r="P20" s="2">
        <v>113.1</v>
      </c>
      <c r="Q20" s="2">
        <v>109.8</v>
      </c>
      <c r="R20" s="2">
        <v>110.5</v>
      </c>
      <c r="S20" s="2">
        <v>109.5</v>
      </c>
      <c r="T20" s="2">
        <v>110.3</v>
      </c>
      <c r="U20" s="2">
        <v>0</v>
      </c>
      <c r="V20" s="2">
        <v>109.5</v>
      </c>
      <c r="W20" s="2">
        <v>108.3</v>
      </c>
      <c r="X20" s="2">
        <v>106.9</v>
      </c>
      <c r="Y20" s="2">
        <v>106.8</v>
      </c>
      <c r="Z20" s="2">
        <v>106.4</v>
      </c>
      <c r="AA20" s="2">
        <v>107.8</v>
      </c>
      <c r="AB20" s="2">
        <v>102.5</v>
      </c>
      <c r="AC20" s="2">
        <v>106.5</v>
      </c>
      <c r="AD20" s="2">
        <f>AVERAGE(All_India_Index_Upto_April23_CPI_data[[#This Row],[Cereals and products]:[Food and beverages]])</f>
        <v>111.22307692307689</v>
      </c>
      <c r="AE20" s="2">
        <f>AVERAGE(All_India_Index_Upto_April23_CPI_data[[#This Row],[Recreation and amusement]],All_India_Index_Upto_April23_CPI_data[[#This Row],[Pan, tobacco and intoxicants]])</f>
        <v>108.1</v>
      </c>
      <c r="AF20" s="2">
        <f>AVERAGE(All_India_Index_Upto_April23_CPI_data[[#This Row],[Household goods and services]],All_India_Index_Upto_April23_CPI_data[[#This Row],[Housing]])</f>
        <v>54.15</v>
      </c>
      <c r="AG20" s="2">
        <f>AVERAGE(All_India_Index_Upto_April23_CPI_data[[#This Row],[Personal care and effects]],All_India_Index_Upto_April23_CPI_data[[#This Row],[Health]])</f>
        <v>104.7</v>
      </c>
      <c r="AH20" s="2">
        <f>AVERAGE(All_India_Index_Upto_April23_CPI_data[[#This Row],[Clothing]:[Clothing and footwear]])</f>
        <v>110.10000000000001</v>
      </c>
      <c r="AI20" s="2">
        <v>110.7</v>
      </c>
      <c r="AJ20" s="1">
        <f>(All_India_Index_Upto_April23_CPI_data[[#This Row],[General index]]-AI17)/AI17</f>
        <v>1.6528925619834683E-2</v>
      </c>
      <c r="AQ20" t="s">
        <v>30</v>
      </c>
      <c r="AR20">
        <v>2022</v>
      </c>
      <c r="AS20" t="s">
        <v>43</v>
      </c>
      <c r="AT20" s="2">
        <v>166.9</v>
      </c>
      <c r="AU20" s="2">
        <v>207.2</v>
      </c>
      <c r="AV20" s="2">
        <v>180.2</v>
      </c>
      <c r="AW20" s="2">
        <v>172.3</v>
      </c>
      <c r="AX20" s="2">
        <v>194</v>
      </c>
      <c r="AY20" s="2">
        <v>159.1</v>
      </c>
      <c r="AZ20" s="2">
        <v>171.6</v>
      </c>
      <c r="BA20" s="2">
        <v>170.2</v>
      </c>
      <c r="BB20" s="2">
        <v>121.5</v>
      </c>
      <c r="BC20" s="2">
        <v>204.8</v>
      </c>
      <c r="BD20" s="2">
        <v>176.4</v>
      </c>
      <c r="BE20" s="2">
        <v>186.9</v>
      </c>
      <c r="BF20" s="2">
        <v>176.6</v>
      </c>
      <c r="BG20" s="2">
        <v>175.97692307692307</v>
      </c>
      <c r="BH20" s="2">
        <f t="shared" si="1"/>
        <v>0.24615384615384528</v>
      </c>
      <c r="BI20" s="1">
        <f t="shared" si="2"/>
        <v>1.4007441453272001E-3</v>
      </c>
      <c r="BJ20" s="2"/>
      <c r="BK20" s="2"/>
      <c r="BL20" s="2"/>
      <c r="BM20" s="2"/>
      <c r="BN20" s="2"/>
      <c r="BO20" t="s">
        <v>30</v>
      </c>
      <c r="BP20">
        <v>2021</v>
      </c>
      <c r="BQ20" t="s">
        <v>39</v>
      </c>
      <c r="BR20" s="11">
        <f t="shared" si="0"/>
        <v>44378</v>
      </c>
      <c r="BS20" s="2">
        <v>145.1</v>
      </c>
      <c r="BT20" s="2">
        <v>204.5</v>
      </c>
      <c r="BU20" s="2">
        <v>180.4</v>
      </c>
      <c r="BV20" s="2">
        <v>157.1</v>
      </c>
      <c r="BW20" s="2">
        <v>188.7</v>
      </c>
      <c r="BX20" s="2">
        <v>157.69999999999999</v>
      </c>
      <c r="BY20" s="2">
        <v>152.80000000000001</v>
      </c>
      <c r="BZ20" s="2">
        <v>163.6</v>
      </c>
      <c r="CA20" s="2">
        <v>113.9</v>
      </c>
      <c r="CB20" s="2">
        <v>169.7</v>
      </c>
      <c r="CC20" s="2">
        <v>166.2</v>
      </c>
      <c r="CD20" s="2">
        <v>171</v>
      </c>
      <c r="CE20" s="2">
        <v>161.69999999999999</v>
      </c>
      <c r="CF20" s="2">
        <v>189.7</v>
      </c>
      <c r="CG20" s="2">
        <v>166</v>
      </c>
      <c r="CH20" s="2">
        <v>161.1</v>
      </c>
      <c r="CI20" s="2">
        <v>165.3</v>
      </c>
      <c r="CJ20" s="2">
        <v>0</v>
      </c>
      <c r="CK20" s="2">
        <v>162.5</v>
      </c>
      <c r="CL20" s="2">
        <v>160.30000000000001</v>
      </c>
      <c r="CM20" s="2">
        <v>170.4</v>
      </c>
      <c r="CN20" s="2">
        <v>157.1</v>
      </c>
      <c r="CO20" s="2">
        <v>160.69999999999999</v>
      </c>
      <c r="CP20" s="2">
        <v>167.2</v>
      </c>
      <c r="CQ20" s="2">
        <v>160.4</v>
      </c>
      <c r="CR20" s="2">
        <v>162.80000000000001</v>
      </c>
      <c r="CS20" s="2">
        <v>164.03076923076924</v>
      </c>
      <c r="CT20" s="2">
        <v>175.2</v>
      </c>
      <c r="CU20" s="2">
        <v>80.150000000000006</v>
      </c>
      <c r="CV20" s="2">
        <v>165.4</v>
      </c>
      <c r="CW20" s="2">
        <v>164.13333333333335</v>
      </c>
      <c r="CX20" s="2">
        <v>163.19999999999999</v>
      </c>
      <c r="CY20" s="1">
        <v>6.7859346082664671E-3</v>
      </c>
      <c r="CZ20">
        <f>VLOOKUP(BR20,'OIL PRICE'!$A$1:$B$27,2,0)</f>
        <v>73.540000000000006</v>
      </c>
    </row>
    <row r="21" spans="1:104" x14ac:dyDescent="0.25">
      <c r="A21" t="s">
        <v>32</v>
      </c>
      <c r="B21">
        <v>2013</v>
      </c>
      <c r="C21" t="s">
        <v>39</v>
      </c>
      <c r="D21" s="2">
        <v>117.8</v>
      </c>
      <c r="E21" s="2">
        <v>119.2</v>
      </c>
      <c r="F21" s="2">
        <v>114</v>
      </c>
      <c r="G21" s="2">
        <v>108.3</v>
      </c>
      <c r="H21" s="2">
        <v>101.1</v>
      </c>
      <c r="I21" s="2">
        <v>113.2</v>
      </c>
      <c r="J21" s="2">
        <v>160.9</v>
      </c>
      <c r="K21" s="2">
        <v>105.1</v>
      </c>
      <c r="L21" s="2">
        <v>101.3</v>
      </c>
      <c r="M21" s="2">
        <v>107.5</v>
      </c>
      <c r="N21" s="2">
        <v>110.4</v>
      </c>
      <c r="O21" s="2">
        <v>113.1</v>
      </c>
      <c r="P21" s="2">
        <v>117.5</v>
      </c>
      <c r="Q21" s="2">
        <v>111.7</v>
      </c>
      <c r="R21" s="2">
        <v>109.8</v>
      </c>
      <c r="S21" s="2">
        <v>107.8</v>
      </c>
      <c r="T21" s="2">
        <v>109.5</v>
      </c>
      <c r="U21" s="2">
        <v>107.7</v>
      </c>
      <c r="V21" s="2">
        <v>108.6</v>
      </c>
      <c r="W21" s="2">
        <v>108.1</v>
      </c>
      <c r="X21" s="2">
        <v>107.1</v>
      </c>
      <c r="Y21" s="2">
        <v>107.3</v>
      </c>
      <c r="Z21" s="2">
        <v>105.9</v>
      </c>
      <c r="AA21" s="2">
        <v>110.1</v>
      </c>
      <c r="AB21" s="2">
        <v>103.2</v>
      </c>
      <c r="AC21" s="2">
        <v>107.3</v>
      </c>
      <c r="AD21" s="2">
        <f>AVERAGE(All_India_Index_Upto_April23_CPI_data[[#This Row],[Cereals and products]:[Food and beverages]])</f>
        <v>114.56923076923077</v>
      </c>
      <c r="AE21" s="2">
        <f>AVERAGE(All_India_Index_Upto_April23_CPI_data[[#This Row],[Recreation and amusement]],All_India_Index_Upto_April23_CPI_data[[#This Row],[Pan, tobacco and intoxicants]])</f>
        <v>108.80000000000001</v>
      </c>
      <c r="AF21" s="2">
        <f>AVERAGE(All_India_Index_Upto_April23_CPI_data[[#This Row],[Household goods and services]],All_India_Index_Upto_April23_CPI_data[[#This Row],[Housing]])</f>
        <v>107.9</v>
      </c>
      <c r="AG21" s="2">
        <f>AVERAGE(All_India_Index_Upto_April23_CPI_data[[#This Row],[Personal care and effects]],All_India_Index_Upto_April23_CPI_data[[#This Row],[Health]])</f>
        <v>105.15</v>
      </c>
      <c r="AH21" s="2">
        <f>AVERAGE(All_India_Index_Upto_April23_CPI_data[[#This Row],[Clothing]:[Clothing and footwear]])</f>
        <v>109.03333333333335</v>
      </c>
      <c r="AI21" s="2">
        <v>111.4</v>
      </c>
      <c r="AJ21" s="1">
        <f>(All_India_Index_Upto_April23_CPI_data[[#This Row],[General index]]-AI18)/AI18</f>
        <v>1.549680948040112E-2</v>
      </c>
      <c r="AQ21" t="s">
        <v>32</v>
      </c>
      <c r="AR21">
        <v>2022</v>
      </c>
      <c r="AS21" t="s">
        <v>43</v>
      </c>
      <c r="AT21" s="2">
        <v>168.4</v>
      </c>
      <c r="AU21" s="2">
        <v>213.4</v>
      </c>
      <c r="AV21" s="2">
        <v>183.2</v>
      </c>
      <c r="AW21" s="2">
        <v>172.3</v>
      </c>
      <c r="AX21" s="2">
        <v>180</v>
      </c>
      <c r="AY21" s="2">
        <v>162.6</v>
      </c>
      <c r="AZ21" s="2">
        <v>205.5</v>
      </c>
      <c r="BA21" s="2">
        <v>171</v>
      </c>
      <c r="BB21" s="2">
        <v>123.4</v>
      </c>
      <c r="BC21" s="2">
        <v>198.8</v>
      </c>
      <c r="BD21" s="2">
        <v>162.1</v>
      </c>
      <c r="BE21" s="2">
        <v>192.4</v>
      </c>
      <c r="BF21" s="2">
        <v>181.3</v>
      </c>
      <c r="BG21" s="2">
        <v>178.03076923076924</v>
      </c>
      <c r="BH21" s="2">
        <f t="shared" si="1"/>
        <v>-0.60769230769230376</v>
      </c>
      <c r="BI21" s="1">
        <f t="shared" si="2"/>
        <v>-3.4017999397149157E-3</v>
      </c>
      <c r="BJ21" s="2"/>
      <c r="BK21" s="2"/>
      <c r="BL21" s="2"/>
      <c r="BM21" s="2"/>
      <c r="BN21" s="2"/>
      <c r="BO21" t="s">
        <v>32</v>
      </c>
      <c r="BP21">
        <v>2021</v>
      </c>
      <c r="BQ21" t="s">
        <v>39</v>
      </c>
      <c r="BR21" s="11">
        <f t="shared" si="0"/>
        <v>44378</v>
      </c>
      <c r="BS21" s="2">
        <v>149.1</v>
      </c>
      <c r="BT21" s="2">
        <v>210.9</v>
      </c>
      <c r="BU21" s="2">
        <v>185</v>
      </c>
      <c r="BV21" s="2">
        <v>158.19999999999999</v>
      </c>
      <c r="BW21" s="2">
        <v>170.6</v>
      </c>
      <c r="BX21" s="2">
        <v>170.9</v>
      </c>
      <c r="BY21" s="2">
        <v>186.4</v>
      </c>
      <c r="BZ21" s="2">
        <v>164.7</v>
      </c>
      <c r="CA21" s="2">
        <v>115.7</v>
      </c>
      <c r="CB21" s="2">
        <v>165.5</v>
      </c>
      <c r="CC21" s="2">
        <v>153.4</v>
      </c>
      <c r="CD21" s="2">
        <v>173.5</v>
      </c>
      <c r="CE21" s="2">
        <v>167.9</v>
      </c>
      <c r="CF21" s="2">
        <v>195.5</v>
      </c>
      <c r="CG21" s="2">
        <v>157.9</v>
      </c>
      <c r="CH21" s="2">
        <v>141.9</v>
      </c>
      <c r="CI21" s="2">
        <v>155.5</v>
      </c>
      <c r="CJ21" s="2">
        <v>161.5</v>
      </c>
      <c r="CK21" s="2">
        <v>157.69999999999999</v>
      </c>
      <c r="CL21" s="2">
        <v>150.69999999999999</v>
      </c>
      <c r="CM21" s="2">
        <v>161.5</v>
      </c>
      <c r="CN21" s="2">
        <v>149.5</v>
      </c>
      <c r="CO21" s="2">
        <v>151.19999999999999</v>
      </c>
      <c r="CP21" s="2">
        <v>160.30000000000001</v>
      </c>
      <c r="CQ21" s="2">
        <v>159.6</v>
      </c>
      <c r="CR21" s="2">
        <v>155</v>
      </c>
      <c r="CS21" s="2">
        <v>167.06153846153848</v>
      </c>
      <c r="CT21" s="2">
        <v>173.35</v>
      </c>
      <c r="CU21" s="2">
        <v>156.1</v>
      </c>
      <c r="CV21" s="2">
        <v>160.55000000000001</v>
      </c>
      <c r="CW21" s="2">
        <v>151.76666666666668</v>
      </c>
      <c r="CX21" s="2">
        <v>161.80000000000001</v>
      </c>
      <c r="CY21" s="1">
        <v>8.7281795511222303E-3</v>
      </c>
      <c r="CZ21">
        <f>VLOOKUP(BR21,'OIL PRICE'!$A$1:$B$27,2,0)</f>
        <v>73.540000000000006</v>
      </c>
    </row>
    <row r="22" spans="1:104" x14ac:dyDescent="0.25">
      <c r="A22" t="s">
        <v>33</v>
      </c>
      <c r="B22">
        <v>2013</v>
      </c>
      <c r="C22" t="s">
        <v>39</v>
      </c>
      <c r="D22" s="2">
        <v>114.8</v>
      </c>
      <c r="E22" s="2">
        <v>116.4</v>
      </c>
      <c r="F22" s="2">
        <v>111.9</v>
      </c>
      <c r="G22" s="2">
        <v>108.9</v>
      </c>
      <c r="H22" s="2">
        <v>104.3</v>
      </c>
      <c r="I22" s="2">
        <v>111.7</v>
      </c>
      <c r="J22" s="2">
        <v>140</v>
      </c>
      <c r="K22" s="2">
        <v>106.4</v>
      </c>
      <c r="L22" s="2">
        <v>103.3</v>
      </c>
      <c r="M22" s="2">
        <v>106.8</v>
      </c>
      <c r="N22" s="2">
        <v>109.6</v>
      </c>
      <c r="O22" s="2">
        <v>112.6</v>
      </c>
      <c r="P22" s="2">
        <v>114.7</v>
      </c>
      <c r="Q22" s="2">
        <v>110.3</v>
      </c>
      <c r="R22" s="2">
        <v>110.2</v>
      </c>
      <c r="S22" s="2">
        <v>108.8</v>
      </c>
      <c r="T22" s="2">
        <v>110</v>
      </c>
      <c r="U22" s="2">
        <v>107.7</v>
      </c>
      <c r="V22" s="2">
        <v>109.2</v>
      </c>
      <c r="W22" s="2">
        <v>108.2</v>
      </c>
      <c r="X22" s="2">
        <v>107</v>
      </c>
      <c r="Y22" s="2">
        <v>107.1</v>
      </c>
      <c r="Z22" s="2">
        <v>106.1</v>
      </c>
      <c r="AA22" s="2">
        <v>109.1</v>
      </c>
      <c r="AB22" s="2">
        <v>102.8</v>
      </c>
      <c r="AC22" s="2">
        <v>106.9</v>
      </c>
      <c r="AD22" s="2">
        <f>AVERAGE(All_India_Index_Upto_April23_CPI_data[[#This Row],[Cereals and products]:[Food and beverages]])</f>
        <v>112.41538461538461</v>
      </c>
      <c r="AE22" s="2">
        <f>AVERAGE(All_India_Index_Upto_April23_CPI_data[[#This Row],[Recreation and amusement]],All_India_Index_Upto_April23_CPI_data[[#This Row],[Pan, tobacco and intoxicants]])</f>
        <v>108.19999999999999</v>
      </c>
      <c r="AF22" s="2">
        <f>AVERAGE(All_India_Index_Upto_April23_CPI_data[[#This Row],[Household goods and services]],All_India_Index_Upto_April23_CPI_data[[#This Row],[Housing]])</f>
        <v>107.95</v>
      </c>
      <c r="AG22" s="2">
        <f>AVERAGE(All_India_Index_Upto_April23_CPI_data[[#This Row],[Personal care and effects]],All_India_Index_Upto_April23_CPI_data[[#This Row],[Health]])</f>
        <v>104.9</v>
      </c>
      <c r="AH22" s="2">
        <f>AVERAGE(All_India_Index_Upto_April23_CPI_data[[#This Row],[Clothing]:[Clothing and footwear]])</f>
        <v>109.66666666666667</v>
      </c>
      <c r="AI22" s="2">
        <v>111</v>
      </c>
      <c r="AJ22" s="1">
        <f>(All_India_Index_Upto_April23_CPI_data[[#This Row],[General index]]-AI19)/AI19</f>
        <v>1.5553522415370566E-2</v>
      </c>
      <c r="AQ22" t="s">
        <v>33</v>
      </c>
      <c r="AR22">
        <v>2022</v>
      </c>
      <c r="AS22" t="s">
        <v>43</v>
      </c>
      <c r="AT22" s="2">
        <v>167.4</v>
      </c>
      <c r="AU22" s="2">
        <v>209.4</v>
      </c>
      <c r="AV22" s="2">
        <v>181.4</v>
      </c>
      <c r="AW22" s="2">
        <v>172.3</v>
      </c>
      <c r="AX22" s="2">
        <v>188.9</v>
      </c>
      <c r="AY22" s="2">
        <v>160.69999999999999</v>
      </c>
      <c r="AZ22" s="2">
        <v>183.1</v>
      </c>
      <c r="BA22" s="2">
        <v>170.5</v>
      </c>
      <c r="BB22" s="2">
        <v>122.1</v>
      </c>
      <c r="BC22" s="2">
        <v>202.8</v>
      </c>
      <c r="BD22" s="2">
        <v>170.4</v>
      </c>
      <c r="BE22" s="2">
        <v>189.5</v>
      </c>
      <c r="BF22" s="2">
        <v>178.3</v>
      </c>
      <c r="BG22" s="2">
        <v>176.67692307692309</v>
      </c>
      <c r="BH22" s="2">
        <f t="shared" si="1"/>
        <v>-3.8461538461547207E-2</v>
      </c>
      <c r="BI22" s="1">
        <f t="shared" si="2"/>
        <v>-2.176468027685168E-4</v>
      </c>
      <c r="BJ22" s="2"/>
      <c r="BK22" s="2"/>
      <c r="BL22" s="2"/>
      <c r="BM22" s="2"/>
      <c r="BN22" s="2"/>
      <c r="BO22" t="s">
        <v>33</v>
      </c>
      <c r="BP22">
        <v>2021</v>
      </c>
      <c r="BQ22" t="s">
        <v>39</v>
      </c>
      <c r="BR22" s="11">
        <f t="shared" si="0"/>
        <v>44378</v>
      </c>
      <c r="BS22" s="2">
        <v>146.4</v>
      </c>
      <c r="BT22" s="2">
        <v>206.8</v>
      </c>
      <c r="BU22" s="2">
        <v>182.2</v>
      </c>
      <c r="BV22" s="2">
        <v>157.5</v>
      </c>
      <c r="BW22" s="2">
        <v>182.1</v>
      </c>
      <c r="BX22" s="2">
        <v>163.9</v>
      </c>
      <c r="BY22" s="2">
        <v>164.2</v>
      </c>
      <c r="BZ22" s="2">
        <v>164</v>
      </c>
      <c r="CA22" s="2">
        <v>114.5</v>
      </c>
      <c r="CB22" s="2">
        <v>168.3</v>
      </c>
      <c r="CC22" s="2">
        <v>160.9</v>
      </c>
      <c r="CD22" s="2">
        <v>172.2</v>
      </c>
      <c r="CE22" s="2">
        <v>164</v>
      </c>
      <c r="CF22" s="2">
        <v>191.2</v>
      </c>
      <c r="CG22" s="2">
        <v>162.80000000000001</v>
      </c>
      <c r="CH22" s="2">
        <v>153.1</v>
      </c>
      <c r="CI22" s="2">
        <v>161.4</v>
      </c>
      <c r="CJ22" s="2">
        <v>161.5</v>
      </c>
      <c r="CK22" s="2">
        <v>160.69999999999999</v>
      </c>
      <c r="CL22" s="2">
        <v>155.80000000000001</v>
      </c>
      <c r="CM22" s="2">
        <v>167</v>
      </c>
      <c r="CN22" s="2">
        <v>153.1</v>
      </c>
      <c r="CO22" s="2">
        <v>155.30000000000001</v>
      </c>
      <c r="CP22" s="2">
        <v>163.19999999999999</v>
      </c>
      <c r="CQ22" s="2">
        <v>160.1</v>
      </c>
      <c r="CR22" s="2">
        <v>159</v>
      </c>
      <c r="CS22" s="2">
        <v>165.15384615384616</v>
      </c>
      <c r="CT22" s="2">
        <v>173.25</v>
      </c>
      <c r="CU22" s="2">
        <v>158.65</v>
      </c>
      <c r="CV22" s="2">
        <v>163.55000000000001</v>
      </c>
      <c r="CW22" s="2">
        <v>159.1</v>
      </c>
      <c r="CX22" s="2">
        <v>162.5</v>
      </c>
      <c r="CY22" s="1">
        <v>7.439553626782322E-3</v>
      </c>
      <c r="CZ22">
        <f>VLOOKUP(BR22,'OIL PRICE'!$A$1:$B$27,2,0)</f>
        <v>73.540000000000006</v>
      </c>
    </row>
    <row r="23" spans="1:104" x14ac:dyDescent="0.25">
      <c r="A23" t="s">
        <v>30</v>
      </c>
      <c r="B23">
        <v>2013</v>
      </c>
      <c r="C23" t="s">
        <v>40</v>
      </c>
      <c r="D23" s="2">
        <v>114.3</v>
      </c>
      <c r="E23" s="2">
        <v>115.4</v>
      </c>
      <c r="F23" s="2">
        <v>111.1</v>
      </c>
      <c r="G23" s="2">
        <v>110</v>
      </c>
      <c r="H23" s="2">
        <v>106.4</v>
      </c>
      <c r="I23" s="2">
        <v>110.8</v>
      </c>
      <c r="J23" s="2">
        <v>138.9</v>
      </c>
      <c r="K23" s="2">
        <v>107.4</v>
      </c>
      <c r="L23" s="2">
        <v>104.1</v>
      </c>
      <c r="M23" s="2">
        <v>106.9</v>
      </c>
      <c r="N23" s="2">
        <v>109.7</v>
      </c>
      <c r="O23" s="2">
        <v>112.6</v>
      </c>
      <c r="P23" s="2">
        <v>114.9</v>
      </c>
      <c r="Q23" s="2">
        <v>110.7</v>
      </c>
      <c r="R23" s="2">
        <v>111.3</v>
      </c>
      <c r="S23" s="2">
        <v>110.2</v>
      </c>
      <c r="T23" s="2">
        <v>111.1</v>
      </c>
      <c r="U23" s="2">
        <v>0</v>
      </c>
      <c r="V23" s="2">
        <v>109.9</v>
      </c>
      <c r="W23" s="2">
        <v>108.7</v>
      </c>
      <c r="X23" s="2">
        <v>107.5</v>
      </c>
      <c r="Y23" s="2">
        <v>107.8</v>
      </c>
      <c r="Z23" s="2">
        <v>106.8</v>
      </c>
      <c r="AA23" s="2">
        <v>108.7</v>
      </c>
      <c r="AB23" s="2">
        <v>105</v>
      </c>
      <c r="AC23" s="2">
        <v>107.5</v>
      </c>
      <c r="AD23" s="2">
        <f>AVERAGE(All_India_Index_Upto_April23_CPI_data[[#This Row],[Cereals and products]:[Food and beverages]])</f>
        <v>112.5</v>
      </c>
      <c r="AE23" s="2">
        <f>AVERAGE(All_India_Index_Upto_April23_CPI_data[[#This Row],[Recreation and amusement]],All_India_Index_Upto_April23_CPI_data[[#This Row],[Pan, tobacco and intoxicants]])</f>
        <v>108.75</v>
      </c>
      <c r="AF23" s="2">
        <f>AVERAGE(All_India_Index_Upto_April23_CPI_data[[#This Row],[Household goods and services]],All_India_Index_Upto_April23_CPI_data[[#This Row],[Housing]])</f>
        <v>54.35</v>
      </c>
      <c r="AG23" s="2">
        <f>AVERAGE(All_India_Index_Upto_April23_CPI_data[[#This Row],[Personal care and effects]],All_India_Index_Upto_April23_CPI_data[[#This Row],[Health]])</f>
        <v>106.25</v>
      </c>
      <c r="AH23" s="2">
        <f>AVERAGE(All_India_Index_Upto_April23_CPI_data[[#This Row],[Clothing]:[Clothing and footwear]])</f>
        <v>110.86666666666667</v>
      </c>
      <c r="AI23" s="2">
        <v>112.1</v>
      </c>
      <c r="AJ23" s="1">
        <f>(All_India_Index_Upto_April23_CPI_data[[#This Row],[General index]]-AI20)/AI20</f>
        <v>1.2646793134597935E-2</v>
      </c>
      <c r="AQ23" t="s">
        <v>30</v>
      </c>
      <c r="AR23">
        <v>2022</v>
      </c>
      <c r="AS23" t="s">
        <v>44</v>
      </c>
      <c r="AT23" s="2">
        <v>168.8</v>
      </c>
      <c r="AU23" s="2">
        <v>206.9</v>
      </c>
      <c r="AV23" s="2">
        <v>189.1</v>
      </c>
      <c r="AW23" s="2">
        <v>173.4</v>
      </c>
      <c r="AX23" s="2">
        <v>193.9</v>
      </c>
      <c r="AY23" s="2">
        <v>156.69999999999999</v>
      </c>
      <c r="AZ23" s="2">
        <v>150.19999999999999</v>
      </c>
      <c r="BA23" s="2">
        <v>170.5</v>
      </c>
      <c r="BB23" s="2">
        <v>121.2</v>
      </c>
      <c r="BC23" s="2">
        <v>207.5</v>
      </c>
      <c r="BD23" s="2">
        <v>176.8</v>
      </c>
      <c r="BE23" s="2">
        <v>187.7</v>
      </c>
      <c r="BF23" s="2">
        <v>174.4</v>
      </c>
      <c r="BG23" s="2">
        <v>175.16153846153844</v>
      </c>
      <c r="BH23" s="2">
        <f t="shared" si="1"/>
        <v>-0.81538461538463025</v>
      </c>
      <c r="BI23" s="1">
        <f t="shared" si="2"/>
        <v>-4.6334746688814939E-3</v>
      </c>
      <c r="BJ23" s="2"/>
      <c r="BK23" s="2"/>
      <c r="BL23" s="2"/>
      <c r="BM23" s="2"/>
      <c r="BN23" s="2"/>
      <c r="BO23" t="s">
        <v>30</v>
      </c>
      <c r="BP23">
        <v>2021</v>
      </c>
      <c r="BQ23" t="s">
        <v>40</v>
      </c>
      <c r="BR23" s="11">
        <f t="shared" si="0"/>
        <v>44409</v>
      </c>
      <c r="BS23" s="2">
        <v>144.9</v>
      </c>
      <c r="BT23" s="2">
        <v>202.3</v>
      </c>
      <c r="BU23" s="2">
        <v>176.5</v>
      </c>
      <c r="BV23" s="2">
        <v>157.5</v>
      </c>
      <c r="BW23" s="2">
        <v>190.9</v>
      </c>
      <c r="BX23" s="2">
        <v>155.69999999999999</v>
      </c>
      <c r="BY23" s="2">
        <v>153.9</v>
      </c>
      <c r="BZ23" s="2">
        <v>162.80000000000001</v>
      </c>
      <c r="CA23" s="2">
        <v>115.2</v>
      </c>
      <c r="CB23" s="2">
        <v>169.8</v>
      </c>
      <c r="CC23" s="2">
        <v>167.6</v>
      </c>
      <c r="CD23" s="2">
        <v>171.9</v>
      </c>
      <c r="CE23" s="2">
        <v>161.80000000000001</v>
      </c>
      <c r="CF23" s="2">
        <v>190.2</v>
      </c>
      <c r="CG23" s="2">
        <v>167</v>
      </c>
      <c r="CH23" s="2">
        <v>162.6</v>
      </c>
      <c r="CI23" s="2">
        <v>166.3</v>
      </c>
      <c r="CJ23" s="2">
        <v>0</v>
      </c>
      <c r="CK23" s="2">
        <v>163.1</v>
      </c>
      <c r="CL23" s="2">
        <v>160.9</v>
      </c>
      <c r="CM23" s="2">
        <v>171.1</v>
      </c>
      <c r="CN23" s="2">
        <v>157.69999999999999</v>
      </c>
      <c r="CO23" s="2">
        <v>161.1</v>
      </c>
      <c r="CP23" s="2">
        <v>167.5</v>
      </c>
      <c r="CQ23" s="2">
        <v>160.30000000000001</v>
      </c>
      <c r="CR23" s="2">
        <v>163.30000000000001</v>
      </c>
      <c r="CS23" s="2">
        <v>163.90769230769232</v>
      </c>
      <c r="CT23" s="2">
        <v>175.64999999999998</v>
      </c>
      <c r="CU23" s="2">
        <v>80.45</v>
      </c>
      <c r="CV23" s="2">
        <v>165.7</v>
      </c>
      <c r="CW23" s="2">
        <v>165.3</v>
      </c>
      <c r="CX23" s="2">
        <v>163.6</v>
      </c>
      <c r="CY23" s="1">
        <v>2.4509803921568978E-3</v>
      </c>
      <c r="CZ23">
        <f>VLOOKUP(BR23,'OIL PRICE'!$A$1:$B$27,2,0)</f>
        <v>69.8</v>
      </c>
    </row>
    <row r="24" spans="1:104" x14ac:dyDescent="0.25">
      <c r="A24" t="s">
        <v>32</v>
      </c>
      <c r="B24">
        <v>2013</v>
      </c>
      <c r="C24" t="s">
        <v>40</v>
      </c>
      <c r="D24" s="2">
        <v>118.3</v>
      </c>
      <c r="E24" s="2">
        <v>120.4</v>
      </c>
      <c r="F24" s="2">
        <v>112.7</v>
      </c>
      <c r="G24" s="2">
        <v>108.9</v>
      </c>
      <c r="H24" s="2">
        <v>101.1</v>
      </c>
      <c r="I24" s="2">
        <v>108.7</v>
      </c>
      <c r="J24" s="2">
        <v>177</v>
      </c>
      <c r="K24" s="2">
        <v>104.7</v>
      </c>
      <c r="L24" s="2">
        <v>101</v>
      </c>
      <c r="M24" s="2">
        <v>108.5</v>
      </c>
      <c r="N24" s="2">
        <v>110.9</v>
      </c>
      <c r="O24" s="2">
        <v>114.3</v>
      </c>
      <c r="P24" s="2">
        <v>119.6</v>
      </c>
      <c r="Q24" s="2">
        <v>112.4</v>
      </c>
      <c r="R24" s="2">
        <v>110.6</v>
      </c>
      <c r="S24" s="2">
        <v>108.3</v>
      </c>
      <c r="T24" s="2">
        <v>110.2</v>
      </c>
      <c r="U24" s="2">
        <v>108.9</v>
      </c>
      <c r="V24" s="2">
        <v>109.3</v>
      </c>
      <c r="W24" s="2">
        <v>108.7</v>
      </c>
      <c r="X24" s="2">
        <v>107.6</v>
      </c>
      <c r="Y24" s="2">
        <v>108.1</v>
      </c>
      <c r="Z24" s="2">
        <v>106.5</v>
      </c>
      <c r="AA24" s="2">
        <v>110.8</v>
      </c>
      <c r="AB24" s="2">
        <v>106</v>
      </c>
      <c r="AC24" s="2">
        <v>108.3</v>
      </c>
      <c r="AD24" s="2">
        <f>AVERAGE(All_India_Index_Upto_April23_CPI_data[[#This Row],[Cereals and products]:[Food and beverages]])</f>
        <v>115.85384615384616</v>
      </c>
      <c r="AE24" s="2">
        <f>AVERAGE(All_India_Index_Upto_April23_CPI_data[[#This Row],[Recreation and amusement]],All_India_Index_Upto_April23_CPI_data[[#This Row],[Pan, tobacco and intoxicants]])</f>
        <v>109.45</v>
      </c>
      <c r="AF24" s="2">
        <f>AVERAGE(All_India_Index_Upto_April23_CPI_data[[#This Row],[Household goods and services]],All_India_Index_Upto_April23_CPI_data[[#This Row],[Housing]])</f>
        <v>108.80000000000001</v>
      </c>
      <c r="AG24" s="2">
        <f>AVERAGE(All_India_Index_Upto_April23_CPI_data[[#This Row],[Personal care and effects]],All_India_Index_Upto_April23_CPI_data[[#This Row],[Health]])</f>
        <v>106.8</v>
      </c>
      <c r="AH24" s="2">
        <f>AVERAGE(All_India_Index_Upto_April23_CPI_data[[#This Row],[Clothing]:[Clothing and footwear]])</f>
        <v>109.69999999999999</v>
      </c>
      <c r="AI24" s="2">
        <v>112.7</v>
      </c>
      <c r="AJ24" s="1">
        <f>(All_India_Index_Upto_April23_CPI_data[[#This Row],[General index]]-AI21)/AI21</f>
        <v>1.1669658886894049E-2</v>
      </c>
      <c r="AQ24" t="s">
        <v>32</v>
      </c>
      <c r="AR24">
        <v>2022</v>
      </c>
      <c r="AS24" t="s">
        <v>44</v>
      </c>
      <c r="AT24" s="2">
        <v>170.2</v>
      </c>
      <c r="AU24" s="2">
        <v>212.9</v>
      </c>
      <c r="AV24" s="2">
        <v>191.9</v>
      </c>
      <c r="AW24" s="2">
        <v>173.9</v>
      </c>
      <c r="AX24" s="2">
        <v>179.1</v>
      </c>
      <c r="AY24" s="2">
        <v>159.5</v>
      </c>
      <c r="AZ24" s="2">
        <v>178.7</v>
      </c>
      <c r="BA24" s="2">
        <v>171.3</v>
      </c>
      <c r="BB24" s="2">
        <v>123.1</v>
      </c>
      <c r="BC24" s="2">
        <v>200.5</v>
      </c>
      <c r="BD24" s="2">
        <v>162.80000000000001</v>
      </c>
      <c r="BE24" s="2">
        <v>193.3</v>
      </c>
      <c r="BF24" s="2">
        <v>178.6</v>
      </c>
      <c r="BG24" s="2">
        <v>176.59999999999997</v>
      </c>
      <c r="BH24" s="2">
        <f t="shared" si="1"/>
        <v>-1.4307692307692719</v>
      </c>
      <c r="BI24" s="1">
        <f t="shared" si="2"/>
        <v>-8.0366401659179628E-3</v>
      </c>
      <c r="BJ24" s="2"/>
      <c r="BK24" s="2"/>
      <c r="BL24" s="2"/>
      <c r="BM24" s="2"/>
      <c r="BN24" s="2"/>
      <c r="BO24" t="s">
        <v>32</v>
      </c>
      <c r="BP24">
        <v>2021</v>
      </c>
      <c r="BQ24" t="s">
        <v>40</v>
      </c>
      <c r="BR24" s="11">
        <f t="shared" si="0"/>
        <v>44409</v>
      </c>
      <c r="BS24" s="2">
        <v>149.30000000000001</v>
      </c>
      <c r="BT24" s="2">
        <v>207.4</v>
      </c>
      <c r="BU24" s="2">
        <v>174.1</v>
      </c>
      <c r="BV24" s="2">
        <v>159.19999999999999</v>
      </c>
      <c r="BW24" s="2">
        <v>175</v>
      </c>
      <c r="BX24" s="2">
        <v>161.30000000000001</v>
      </c>
      <c r="BY24" s="2">
        <v>183.3</v>
      </c>
      <c r="BZ24" s="2">
        <v>164.5</v>
      </c>
      <c r="CA24" s="2">
        <v>120.4</v>
      </c>
      <c r="CB24" s="2">
        <v>166.2</v>
      </c>
      <c r="CC24" s="2">
        <v>154.80000000000001</v>
      </c>
      <c r="CD24" s="2">
        <v>175.1</v>
      </c>
      <c r="CE24" s="2">
        <v>167.3</v>
      </c>
      <c r="CF24" s="2">
        <v>196.5</v>
      </c>
      <c r="CG24" s="2">
        <v>159.80000000000001</v>
      </c>
      <c r="CH24" s="2">
        <v>143.6</v>
      </c>
      <c r="CI24" s="2">
        <v>157.30000000000001</v>
      </c>
      <c r="CJ24" s="2">
        <v>162.1</v>
      </c>
      <c r="CK24" s="2">
        <v>160.69999999999999</v>
      </c>
      <c r="CL24" s="2">
        <v>153.19999999999999</v>
      </c>
      <c r="CM24" s="2">
        <v>162.80000000000001</v>
      </c>
      <c r="CN24" s="2">
        <v>150.4</v>
      </c>
      <c r="CO24" s="2">
        <v>153.69999999999999</v>
      </c>
      <c r="CP24" s="2">
        <v>160.4</v>
      </c>
      <c r="CQ24" s="2">
        <v>159.6</v>
      </c>
      <c r="CR24" s="2">
        <v>156</v>
      </c>
      <c r="CS24" s="2">
        <v>165.99230769230769</v>
      </c>
      <c r="CT24" s="2">
        <v>175.1</v>
      </c>
      <c r="CU24" s="2">
        <v>157.64999999999998</v>
      </c>
      <c r="CV24" s="2">
        <v>161.19999999999999</v>
      </c>
      <c r="CW24" s="2">
        <v>153.56666666666666</v>
      </c>
      <c r="CX24" s="2">
        <v>162.30000000000001</v>
      </c>
      <c r="CY24" s="1">
        <v>3.0902348578491965E-3</v>
      </c>
      <c r="CZ24">
        <f>VLOOKUP(BR24,'OIL PRICE'!$A$1:$B$27,2,0)</f>
        <v>69.8</v>
      </c>
    </row>
    <row r="25" spans="1:104" x14ac:dyDescent="0.25">
      <c r="A25" t="s">
        <v>33</v>
      </c>
      <c r="B25">
        <v>2013</v>
      </c>
      <c r="C25" t="s">
        <v>40</v>
      </c>
      <c r="D25" s="2">
        <v>115.6</v>
      </c>
      <c r="E25" s="2">
        <v>117.2</v>
      </c>
      <c r="F25" s="2">
        <v>111.7</v>
      </c>
      <c r="G25" s="2">
        <v>109.6</v>
      </c>
      <c r="H25" s="2">
        <v>104.5</v>
      </c>
      <c r="I25" s="2">
        <v>109.8</v>
      </c>
      <c r="J25" s="2">
        <v>151.80000000000001</v>
      </c>
      <c r="K25" s="2">
        <v>106.5</v>
      </c>
      <c r="L25" s="2">
        <v>103.1</v>
      </c>
      <c r="M25" s="2">
        <v>107.4</v>
      </c>
      <c r="N25" s="2">
        <v>110.2</v>
      </c>
      <c r="O25" s="2">
        <v>113.4</v>
      </c>
      <c r="P25" s="2">
        <v>116.6</v>
      </c>
      <c r="Q25" s="2">
        <v>111.2</v>
      </c>
      <c r="R25" s="2">
        <v>111</v>
      </c>
      <c r="S25" s="2">
        <v>109.4</v>
      </c>
      <c r="T25" s="2">
        <v>110.7</v>
      </c>
      <c r="U25" s="2">
        <v>108.9</v>
      </c>
      <c r="V25" s="2">
        <v>109.7</v>
      </c>
      <c r="W25" s="2">
        <v>108.7</v>
      </c>
      <c r="X25" s="2">
        <v>107.5</v>
      </c>
      <c r="Y25" s="2">
        <v>108</v>
      </c>
      <c r="Z25" s="2">
        <v>106.6</v>
      </c>
      <c r="AA25" s="2">
        <v>109.9</v>
      </c>
      <c r="AB25" s="2">
        <v>105.4</v>
      </c>
      <c r="AC25" s="2">
        <v>107.9</v>
      </c>
      <c r="AD25" s="2">
        <f>AVERAGE(All_India_Index_Upto_April23_CPI_data[[#This Row],[Cereals and products]:[Food and beverages]])</f>
        <v>113.64615384615385</v>
      </c>
      <c r="AE25" s="2">
        <f>AVERAGE(All_India_Index_Upto_April23_CPI_data[[#This Row],[Recreation and amusement]],All_India_Index_Upto_April23_CPI_data[[#This Row],[Pan, tobacco and intoxicants]])</f>
        <v>108.9</v>
      </c>
      <c r="AF25" s="2">
        <f>AVERAGE(All_India_Index_Upto_April23_CPI_data[[#This Row],[Household goods and services]],All_India_Index_Upto_April23_CPI_data[[#This Row],[Housing]])</f>
        <v>108.80000000000001</v>
      </c>
      <c r="AG25" s="2">
        <f>AVERAGE(All_India_Index_Upto_April23_CPI_data[[#This Row],[Personal care and effects]],All_India_Index_Upto_April23_CPI_data[[#This Row],[Health]])</f>
        <v>106.45</v>
      </c>
      <c r="AH25" s="2">
        <f>AVERAGE(All_India_Index_Upto_April23_CPI_data[[#This Row],[Clothing]:[Clothing and footwear]])</f>
        <v>110.36666666666667</v>
      </c>
      <c r="AI25" s="2">
        <v>112.4</v>
      </c>
      <c r="AJ25" s="1">
        <f>(All_India_Index_Upto_April23_CPI_data[[#This Row],[General index]]-AI22)/AI22</f>
        <v>1.2612612612612664E-2</v>
      </c>
      <c r="AQ25" t="s">
        <v>33</v>
      </c>
      <c r="AR25">
        <v>2022</v>
      </c>
      <c r="AS25" t="s">
        <v>44</v>
      </c>
      <c r="AT25" s="2">
        <v>169.2</v>
      </c>
      <c r="AU25" s="2">
        <v>209</v>
      </c>
      <c r="AV25" s="2">
        <v>190.2</v>
      </c>
      <c r="AW25" s="2">
        <v>173.6</v>
      </c>
      <c r="AX25" s="2">
        <v>188.5</v>
      </c>
      <c r="AY25" s="2">
        <v>158</v>
      </c>
      <c r="AZ25" s="2">
        <v>159.9</v>
      </c>
      <c r="BA25" s="2">
        <v>170.8</v>
      </c>
      <c r="BB25" s="2">
        <v>121.8</v>
      </c>
      <c r="BC25" s="2">
        <v>205.2</v>
      </c>
      <c r="BD25" s="2">
        <v>171</v>
      </c>
      <c r="BE25" s="2">
        <v>190.3</v>
      </c>
      <c r="BF25" s="2">
        <v>175.9</v>
      </c>
      <c r="BG25" s="2">
        <v>175.64615384615385</v>
      </c>
      <c r="BH25" s="2">
        <f t="shared" si="1"/>
        <v>-1.0307692307692378</v>
      </c>
      <c r="BI25" s="1">
        <f t="shared" si="2"/>
        <v>-5.8342041100662182E-3</v>
      </c>
      <c r="BJ25" s="2"/>
      <c r="BK25" s="2"/>
      <c r="BL25" s="2"/>
      <c r="BM25" s="2"/>
      <c r="BN25" s="2"/>
      <c r="BO25" t="s">
        <v>33</v>
      </c>
      <c r="BP25">
        <v>2021</v>
      </c>
      <c r="BQ25" t="s">
        <v>40</v>
      </c>
      <c r="BR25" s="11">
        <f t="shared" si="0"/>
        <v>44409</v>
      </c>
      <c r="BS25" s="2">
        <v>146.6</v>
      </c>
      <c r="BT25" s="2">
        <v>204</v>
      </c>
      <c r="BU25" s="2">
        <v>172.8</v>
      </c>
      <c r="BV25" s="2">
        <v>158.4</v>
      </c>
      <c r="BW25" s="2">
        <v>188</v>
      </c>
      <c r="BX25" s="2">
        <v>156.80000000000001</v>
      </c>
      <c r="BY25" s="2">
        <v>162.19999999999999</v>
      </c>
      <c r="BZ25" s="2">
        <v>164.1</v>
      </c>
      <c r="CA25" s="2">
        <v>119.7</v>
      </c>
      <c r="CB25" s="2">
        <v>168.8</v>
      </c>
      <c r="CC25" s="2">
        <v>162.69999999999999</v>
      </c>
      <c r="CD25" s="2">
        <v>173.9</v>
      </c>
      <c r="CE25" s="2">
        <v>164</v>
      </c>
      <c r="CF25" s="2">
        <v>192.1</v>
      </c>
      <c r="CG25" s="2">
        <v>164.5</v>
      </c>
      <c r="CH25" s="2">
        <v>155.30000000000001</v>
      </c>
      <c r="CI25" s="2">
        <v>163.19999999999999</v>
      </c>
      <c r="CJ25" s="2">
        <v>162.1</v>
      </c>
      <c r="CK25" s="2">
        <v>162.6</v>
      </c>
      <c r="CL25" s="2">
        <v>157.5</v>
      </c>
      <c r="CM25" s="2">
        <v>168.4</v>
      </c>
      <c r="CN25" s="2">
        <v>154</v>
      </c>
      <c r="CO25" s="2">
        <v>157.6</v>
      </c>
      <c r="CP25" s="2">
        <v>163.80000000000001</v>
      </c>
      <c r="CQ25" s="2">
        <v>160</v>
      </c>
      <c r="CR25" s="2">
        <v>160</v>
      </c>
      <c r="CS25" s="2">
        <v>164.76923076923077</v>
      </c>
      <c r="CT25" s="2">
        <v>174.85</v>
      </c>
      <c r="CU25" s="2">
        <v>159.80000000000001</v>
      </c>
      <c r="CV25" s="2">
        <v>164.2</v>
      </c>
      <c r="CW25" s="2">
        <v>161</v>
      </c>
      <c r="CX25" s="2">
        <v>163.19999999999999</v>
      </c>
      <c r="CY25" s="1">
        <v>4.3076923076922381E-3</v>
      </c>
      <c r="CZ25">
        <f>VLOOKUP(BR25,'OIL PRICE'!$A$1:$B$27,2,0)</f>
        <v>69.8</v>
      </c>
    </row>
    <row r="26" spans="1:104" x14ac:dyDescent="0.25">
      <c r="A26" t="s">
        <v>30</v>
      </c>
      <c r="B26">
        <v>2013</v>
      </c>
      <c r="C26" t="s">
        <v>41</v>
      </c>
      <c r="D26" s="2">
        <v>115.4</v>
      </c>
      <c r="E26" s="2">
        <v>115.7</v>
      </c>
      <c r="F26" s="2">
        <v>111.7</v>
      </c>
      <c r="G26" s="2">
        <v>111</v>
      </c>
      <c r="H26" s="2">
        <v>107.4</v>
      </c>
      <c r="I26" s="2">
        <v>110.9</v>
      </c>
      <c r="J26" s="2">
        <v>154</v>
      </c>
      <c r="K26" s="2">
        <v>108.1</v>
      </c>
      <c r="L26" s="2">
        <v>104.2</v>
      </c>
      <c r="M26" s="2">
        <v>107.9</v>
      </c>
      <c r="N26" s="2">
        <v>110.4</v>
      </c>
      <c r="O26" s="2">
        <v>114</v>
      </c>
      <c r="P26" s="2">
        <v>117.8</v>
      </c>
      <c r="Q26" s="2">
        <v>111.7</v>
      </c>
      <c r="R26" s="2">
        <v>112.7</v>
      </c>
      <c r="S26" s="2">
        <v>111.4</v>
      </c>
      <c r="T26" s="2">
        <v>112.5</v>
      </c>
      <c r="U26" s="2">
        <v>0</v>
      </c>
      <c r="V26" s="2">
        <v>111.1</v>
      </c>
      <c r="W26" s="2">
        <v>109.6</v>
      </c>
      <c r="X26" s="2">
        <v>108.3</v>
      </c>
      <c r="Y26" s="2">
        <v>109.3</v>
      </c>
      <c r="Z26" s="2">
        <v>107.7</v>
      </c>
      <c r="AA26" s="2">
        <v>109.8</v>
      </c>
      <c r="AB26" s="2">
        <v>106.7</v>
      </c>
      <c r="AC26" s="2">
        <v>108.7</v>
      </c>
      <c r="AD26" s="2">
        <f>AVERAGE(All_India_Index_Upto_April23_CPI_data[[#This Row],[Cereals and products]:[Food and beverages]])</f>
        <v>114.50000000000001</v>
      </c>
      <c r="AE26" s="2">
        <f>AVERAGE(All_India_Index_Upto_April23_CPI_data[[#This Row],[Recreation and amusement]],All_India_Index_Upto_April23_CPI_data[[#This Row],[Pan, tobacco and intoxicants]])</f>
        <v>109.7</v>
      </c>
      <c r="AF26" s="2">
        <f>AVERAGE(All_India_Index_Upto_April23_CPI_data[[#This Row],[Household goods and services]],All_India_Index_Upto_April23_CPI_data[[#This Row],[Housing]])</f>
        <v>54.8</v>
      </c>
      <c r="AG26" s="2">
        <f>AVERAGE(All_India_Index_Upto_April23_CPI_data[[#This Row],[Personal care and effects]],All_India_Index_Upto_April23_CPI_data[[#This Row],[Health]])</f>
        <v>107.5</v>
      </c>
      <c r="AH26" s="2">
        <f>AVERAGE(All_India_Index_Upto_April23_CPI_data[[#This Row],[Clothing]:[Clothing and footwear]])</f>
        <v>112.2</v>
      </c>
      <c r="AI26" s="2">
        <v>114.2</v>
      </c>
      <c r="AJ26" s="1">
        <f>(All_India_Index_Upto_April23_CPI_data[[#This Row],[General index]]-AI23)/AI23</f>
        <v>1.8733273862622735E-2</v>
      </c>
      <c r="AQ26" t="s">
        <v>30</v>
      </c>
      <c r="AR26">
        <v>2023</v>
      </c>
      <c r="AS26" t="s">
        <v>31</v>
      </c>
      <c r="AT26" s="2">
        <v>174</v>
      </c>
      <c r="AU26" s="2">
        <v>208.3</v>
      </c>
      <c r="AV26" s="2">
        <v>192.9</v>
      </c>
      <c r="AW26" s="2">
        <v>174.3</v>
      </c>
      <c r="AX26" s="2">
        <v>192.6</v>
      </c>
      <c r="AY26" s="2">
        <v>156.30000000000001</v>
      </c>
      <c r="AZ26" s="2">
        <v>142.9</v>
      </c>
      <c r="BA26" s="2">
        <v>170.7</v>
      </c>
      <c r="BB26" s="2">
        <v>120.3</v>
      </c>
      <c r="BC26" s="2">
        <v>210.5</v>
      </c>
      <c r="BD26" s="2">
        <v>176.9</v>
      </c>
      <c r="BE26" s="2">
        <v>188.5</v>
      </c>
      <c r="BF26" s="2">
        <v>175</v>
      </c>
      <c r="BG26" s="2">
        <v>175.63076923076926</v>
      </c>
      <c r="BH26" s="2">
        <f t="shared" si="1"/>
        <v>0.46923076923081908</v>
      </c>
      <c r="BI26" s="1">
        <f t="shared" si="2"/>
        <v>2.6788459004877469E-3</v>
      </c>
      <c r="BJ26" s="2"/>
      <c r="BK26" s="2"/>
      <c r="BL26" s="2"/>
      <c r="BM26" s="2"/>
      <c r="BN26" s="2"/>
      <c r="BO26" t="s">
        <v>30</v>
      </c>
      <c r="BP26">
        <v>2021</v>
      </c>
      <c r="BQ26" t="s">
        <v>41</v>
      </c>
      <c r="BR26" s="11">
        <f t="shared" si="0"/>
        <v>44440</v>
      </c>
      <c r="BS26" s="2">
        <v>145.4</v>
      </c>
      <c r="BT26" s="2">
        <v>202.1</v>
      </c>
      <c r="BU26" s="2">
        <v>172</v>
      </c>
      <c r="BV26" s="2">
        <v>158</v>
      </c>
      <c r="BW26" s="2">
        <v>195.5</v>
      </c>
      <c r="BX26" s="2">
        <v>152.69999999999999</v>
      </c>
      <c r="BY26" s="2">
        <v>151.4</v>
      </c>
      <c r="BZ26" s="2">
        <v>163.9</v>
      </c>
      <c r="CA26" s="2">
        <v>119.3</v>
      </c>
      <c r="CB26" s="2">
        <v>170.1</v>
      </c>
      <c r="CC26" s="2">
        <v>168.3</v>
      </c>
      <c r="CD26" s="2">
        <v>172.8</v>
      </c>
      <c r="CE26" s="2">
        <v>162.1</v>
      </c>
      <c r="CF26" s="2">
        <v>190.5</v>
      </c>
      <c r="CG26" s="2">
        <v>167.7</v>
      </c>
      <c r="CH26" s="2">
        <v>163.6</v>
      </c>
      <c r="CI26" s="2">
        <v>167.1</v>
      </c>
      <c r="CJ26" s="2">
        <v>0</v>
      </c>
      <c r="CK26" s="2">
        <v>163.69999999999999</v>
      </c>
      <c r="CL26" s="2">
        <v>161.30000000000001</v>
      </c>
      <c r="CM26" s="2">
        <v>171.9</v>
      </c>
      <c r="CN26" s="2">
        <v>157.80000000000001</v>
      </c>
      <c r="CO26" s="2">
        <v>162.69999999999999</v>
      </c>
      <c r="CP26" s="2">
        <v>168.5</v>
      </c>
      <c r="CQ26" s="2">
        <v>160.19999999999999</v>
      </c>
      <c r="CR26" s="2">
        <v>163.80000000000001</v>
      </c>
      <c r="CS26" s="2">
        <v>164.12307692307692</v>
      </c>
      <c r="CT26" s="2">
        <v>176.6</v>
      </c>
      <c r="CU26" s="2">
        <v>80.650000000000006</v>
      </c>
      <c r="CV26" s="2">
        <v>166.05</v>
      </c>
      <c r="CW26" s="2">
        <v>166.13333333333333</v>
      </c>
      <c r="CX26" s="2">
        <v>164</v>
      </c>
      <c r="CY26" s="1">
        <v>2.4449877750611594E-3</v>
      </c>
      <c r="CZ26">
        <f>VLOOKUP(BR26,'OIL PRICE'!$A$1:$B$27,2,0)</f>
        <v>73.13</v>
      </c>
    </row>
    <row r="27" spans="1:104" x14ac:dyDescent="0.25">
      <c r="A27" t="s">
        <v>32</v>
      </c>
      <c r="B27">
        <v>2013</v>
      </c>
      <c r="C27" t="s">
        <v>41</v>
      </c>
      <c r="D27" s="2">
        <v>118.6</v>
      </c>
      <c r="E27" s="2">
        <v>119.1</v>
      </c>
      <c r="F27" s="2">
        <v>113.2</v>
      </c>
      <c r="G27" s="2">
        <v>109.6</v>
      </c>
      <c r="H27" s="2">
        <v>101.7</v>
      </c>
      <c r="I27" s="2">
        <v>103.2</v>
      </c>
      <c r="J27" s="2">
        <v>174.3</v>
      </c>
      <c r="K27" s="2">
        <v>105.1</v>
      </c>
      <c r="L27" s="2">
        <v>100.8</v>
      </c>
      <c r="M27" s="2">
        <v>109.1</v>
      </c>
      <c r="N27" s="2">
        <v>111.1</v>
      </c>
      <c r="O27" s="2">
        <v>115.4</v>
      </c>
      <c r="P27" s="2">
        <v>119.2</v>
      </c>
      <c r="Q27" s="2">
        <v>112.9</v>
      </c>
      <c r="R27" s="2">
        <v>111.4</v>
      </c>
      <c r="S27" s="2">
        <v>109</v>
      </c>
      <c r="T27" s="2">
        <v>111.1</v>
      </c>
      <c r="U27" s="2">
        <v>109.7</v>
      </c>
      <c r="V27" s="2">
        <v>109.5</v>
      </c>
      <c r="W27" s="2">
        <v>109.6</v>
      </c>
      <c r="X27" s="2">
        <v>107.9</v>
      </c>
      <c r="Y27" s="2">
        <v>110.4</v>
      </c>
      <c r="Z27" s="2">
        <v>107.4</v>
      </c>
      <c r="AA27" s="2">
        <v>111.2</v>
      </c>
      <c r="AB27" s="2">
        <v>106.9</v>
      </c>
      <c r="AC27" s="2">
        <v>109.4</v>
      </c>
      <c r="AD27" s="2">
        <f>AVERAGE(All_India_Index_Upto_April23_CPI_data[[#This Row],[Cereals and products]:[Food and beverages]])</f>
        <v>115.41538461538462</v>
      </c>
      <c r="AE27" s="2">
        <f>AVERAGE(All_India_Index_Upto_April23_CPI_data[[#This Row],[Recreation and amusement]],All_India_Index_Upto_April23_CPI_data[[#This Row],[Pan, tobacco and intoxicants]])</f>
        <v>110.15</v>
      </c>
      <c r="AF27" s="2">
        <f>AVERAGE(All_India_Index_Upto_April23_CPI_data[[#This Row],[Household goods and services]],All_India_Index_Upto_April23_CPI_data[[#This Row],[Housing]])</f>
        <v>109.65</v>
      </c>
      <c r="AG27" s="2">
        <f>AVERAGE(All_India_Index_Upto_April23_CPI_data[[#This Row],[Personal care and effects]],All_India_Index_Upto_April23_CPI_data[[#This Row],[Health]])</f>
        <v>107.4</v>
      </c>
      <c r="AH27" s="2">
        <f>AVERAGE(All_India_Index_Upto_April23_CPI_data[[#This Row],[Clothing]:[Clothing and footwear]])</f>
        <v>110.5</v>
      </c>
      <c r="AI27" s="2">
        <v>113.2</v>
      </c>
      <c r="AJ27" s="1">
        <f>(All_India_Index_Upto_April23_CPI_data[[#This Row],[General index]]-AI24)/AI24</f>
        <v>4.4365572315882874E-3</v>
      </c>
      <c r="AQ27" t="s">
        <v>32</v>
      </c>
      <c r="AR27">
        <v>2023</v>
      </c>
      <c r="AS27" t="s">
        <v>31</v>
      </c>
      <c r="AT27" s="2">
        <v>173.3</v>
      </c>
      <c r="AU27" s="2">
        <v>215.2</v>
      </c>
      <c r="AV27" s="2">
        <v>197</v>
      </c>
      <c r="AW27" s="2">
        <v>175.2</v>
      </c>
      <c r="AX27" s="2">
        <v>178</v>
      </c>
      <c r="AY27" s="2">
        <v>160.5</v>
      </c>
      <c r="AZ27" s="2">
        <v>175.3</v>
      </c>
      <c r="BA27" s="2">
        <v>171.2</v>
      </c>
      <c r="BB27" s="2">
        <v>122.7</v>
      </c>
      <c r="BC27" s="2">
        <v>204.3</v>
      </c>
      <c r="BD27" s="2">
        <v>163.69999999999999</v>
      </c>
      <c r="BE27" s="2">
        <v>194.3</v>
      </c>
      <c r="BF27" s="2">
        <v>179.5</v>
      </c>
      <c r="BG27" s="2">
        <v>177.70769230769233</v>
      </c>
      <c r="BH27" s="2">
        <f t="shared" si="1"/>
        <v>1.1076923076923606</v>
      </c>
      <c r="BI27" s="1">
        <f t="shared" si="2"/>
        <v>6.2723233731164256E-3</v>
      </c>
      <c r="BJ27" s="2"/>
      <c r="BK27" s="2"/>
      <c r="BL27" s="2"/>
      <c r="BM27" s="2"/>
      <c r="BN27" s="2"/>
      <c r="BO27" t="s">
        <v>32</v>
      </c>
      <c r="BP27">
        <v>2021</v>
      </c>
      <c r="BQ27" t="s">
        <v>41</v>
      </c>
      <c r="BR27" s="11">
        <f t="shared" si="0"/>
        <v>44440</v>
      </c>
      <c r="BS27" s="2">
        <v>149.30000000000001</v>
      </c>
      <c r="BT27" s="2">
        <v>207.4</v>
      </c>
      <c r="BU27" s="2">
        <v>174.1</v>
      </c>
      <c r="BV27" s="2">
        <v>159.1</v>
      </c>
      <c r="BW27" s="2">
        <v>175</v>
      </c>
      <c r="BX27" s="2">
        <v>161.19999999999999</v>
      </c>
      <c r="BY27" s="2">
        <v>183.5</v>
      </c>
      <c r="BZ27" s="2">
        <v>164.5</v>
      </c>
      <c r="CA27" s="2">
        <v>120.4</v>
      </c>
      <c r="CB27" s="2">
        <v>166.2</v>
      </c>
      <c r="CC27" s="2">
        <v>154.80000000000001</v>
      </c>
      <c r="CD27" s="2">
        <v>175.1</v>
      </c>
      <c r="CE27" s="2">
        <v>167.3</v>
      </c>
      <c r="CF27" s="2">
        <v>196.5</v>
      </c>
      <c r="CG27" s="2">
        <v>159.80000000000001</v>
      </c>
      <c r="CH27" s="2">
        <v>143.6</v>
      </c>
      <c r="CI27" s="2">
        <v>157.4</v>
      </c>
      <c r="CJ27" s="2">
        <v>162.1</v>
      </c>
      <c r="CK27" s="2">
        <v>160.80000000000001</v>
      </c>
      <c r="CL27" s="2">
        <v>153.30000000000001</v>
      </c>
      <c r="CM27" s="2">
        <v>162.80000000000001</v>
      </c>
      <c r="CN27" s="2">
        <v>150.5</v>
      </c>
      <c r="CO27" s="2">
        <v>153.9</v>
      </c>
      <c r="CP27" s="2">
        <v>160.30000000000001</v>
      </c>
      <c r="CQ27" s="2">
        <v>159.6</v>
      </c>
      <c r="CR27" s="2">
        <v>156</v>
      </c>
      <c r="CS27" s="2">
        <v>165.99230769230769</v>
      </c>
      <c r="CT27" s="2">
        <v>175.2</v>
      </c>
      <c r="CU27" s="2">
        <v>157.69999999999999</v>
      </c>
      <c r="CV27" s="2">
        <v>161.19999999999999</v>
      </c>
      <c r="CW27" s="2">
        <v>153.6</v>
      </c>
      <c r="CX27" s="2">
        <v>162.30000000000001</v>
      </c>
      <c r="CY27" s="1">
        <v>0</v>
      </c>
      <c r="CZ27">
        <f>VLOOKUP(BR27,'OIL PRICE'!$A$1:$B$27,2,0)</f>
        <v>73.13</v>
      </c>
    </row>
    <row r="28" spans="1:104" x14ac:dyDescent="0.25">
      <c r="A28" t="s">
        <v>33</v>
      </c>
      <c r="B28">
        <v>2013</v>
      </c>
      <c r="C28" t="s">
        <v>41</v>
      </c>
      <c r="D28" s="2">
        <v>116.4</v>
      </c>
      <c r="E28" s="2">
        <v>116.9</v>
      </c>
      <c r="F28" s="2">
        <v>112.3</v>
      </c>
      <c r="G28" s="2">
        <v>110.5</v>
      </c>
      <c r="H28" s="2">
        <v>105.3</v>
      </c>
      <c r="I28" s="2">
        <v>107.3</v>
      </c>
      <c r="J28" s="2">
        <v>160.9</v>
      </c>
      <c r="K28" s="2">
        <v>107.1</v>
      </c>
      <c r="L28" s="2">
        <v>103.1</v>
      </c>
      <c r="M28" s="2">
        <v>108.3</v>
      </c>
      <c r="N28" s="2">
        <v>110.7</v>
      </c>
      <c r="O28" s="2">
        <v>114.6</v>
      </c>
      <c r="P28" s="2">
        <v>118.3</v>
      </c>
      <c r="Q28" s="2">
        <v>112</v>
      </c>
      <c r="R28" s="2">
        <v>112.2</v>
      </c>
      <c r="S28" s="2">
        <v>110.4</v>
      </c>
      <c r="T28" s="2">
        <v>111.9</v>
      </c>
      <c r="U28" s="2">
        <v>109.7</v>
      </c>
      <c r="V28" s="2">
        <v>110.5</v>
      </c>
      <c r="W28" s="2">
        <v>109.6</v>
      </c>
      <c r="X28" s="2">
        <v>108.1</v>
      </c>
      <c r="Y28" s="2">
        <v>109.9</v>
      </c>
      <c r="Z28" s="2">
        <v>107.5</v>
      </c>
      <c r="AA28" s="2">
        <v>110.6</v>
      </c>
      <c r="AB28" s="2">
        <v>106.8</v>
      </c>
      <c r="AC28" s="2">
        <v>109</v>
      </c>
      <c r="AD28" s="2">
        <f>AVERAGE(All_India_Index_Upto_April23_CPI_data[[#This Row],[Cereals and products]:[Food and beverages]])</f>
        <v>114.74615384615383</v>
      </c>
      <c r="AE28" s="2">
        <f>AVERAGE(All_India_Index_Upto_April23_CPI_data[[#This Row],[Recreation and amusement]],All_India_Index_Upto_April23_CPI_data[[#This Row],[Pan, tobacco and intoxicants]])</f>
        <v>109.75</v>
      </c>
      <c r="AF28" s="2">
        <f>AVERAGE(All_India_Index_Upto_April23_CPI_data[[#This Row],[Household goods and services]],All_India_Index_Upto_April23_CPI_data[[#This Row],[Housing]])</f>
        <v>109.65</v>
      </c>
      <c r="AG28" s="2">
        <f>AVERAGE(All_India_Index_Upto_April23_CPI_data[[#This Row],[Personal care and effects]],All_India_Index_Upto_April23_CPI_data[[#This Row],[Health]])</f>
        <v>107.44999999999999</v>
      </c>
      <c r="AH28" s="2">
        <f>AVERAGE(All_India_Index_Upto_April23_CPI_data[[#This Row],[Clothing]:[Clothing and footwear]])</f>
        <v>111.5</v>
      </c>
      <c r="AI28" s="2">
        <v>113.7</v>
      </c>
      <c r="AJ28" s="1">
        <f>(All_India_Index_Upto_April23_CPI_data[[#This Row],[General index]]-AI25)/AI25</f>
        <v>1.1565836298932359E-2</v>
      </c>
      <c r="AQ28" t="s">
        <v>33</v>
      </c>
      <c r="AR28">
        <v>2023</v>
      </c>
      <c r="AS28" t="s">
        <v>31</v>
      </c>
      <c r="AT28" s="2">
        <v>173.8</v>
      </c>
      <c r="AU28" s="2">
        <v>210.7</v>
      </c>
      <c r="AV28" s="2">
        <v>194.5</v>
      </c>
      <c r="AW28" s="2">
        <v>174.6</v>
      </c>
      <c r="AX28" s="2">
        <v>187.2</v>
      </c>
      <c r="AY28" s="2">
        <v>158.30000000000001</v>
      </c>
      <c r="AZ28" s="2">
        <v>153.9</v>
      </c>
      <c r="BA28" s="2">
        <v>170.9</v>
      </c>
      <c r="BB28" s="2">
        <v>121.1</v>
      </c>
      <c r="BC28" s="2">
        <v>208.4</v>
      </c>
      <c r="BD28" s="2">
        <v>171.4</v>
      </c>
      <c r="BE28" s="2">
        <v>191.2</v>
      </c>
      <c r="BF28" s="2">
        <v>176.7</v>
      </c>
      <c r="BG28" s="2">
        <v>176.36153846153846</v>
      </c>
      <c r="BH28" s="2">
        <f t="shared" si="1"/>
        <v>0.71538461538460751</v>
      </c>
      <c r="BI28" s="1">
        <f t="shared" si="2"/>
        <v>4.0728737847069707E-3</v>
      </c>
      <c r="BJ28" s="2"/>
      <c r="BK28" s="2"/>
      <c r="BL28" s="2"/>
      <c r="BM28" s="2"/>
      <c r="BN28" s="2"/>
      <c r="BO28" t="s">
        <v>33</v>
      </c>
      <c r="BP28">
        <v>2021</v>
      </c>
      <c r="BQ28" t="s">
        <v>41</v>
      </c>
      <c r="BR28" s="11">
        <f t="shared" si="0"/>
        <v>44440</v>
      </c>
      <c r="BS28" s="2">
        <v>146.6</v>
      </c>
      <c r="BT28" s="2">
        <v>204</v>
      </c>
      <c r="BU28" s="2">
        <v>172.8</v>
      </c>
      <c r="BV28" s="2">
        <v>158.4</v>
      </c>
      <c r="BW28" s="2">
        <v>188</v>
      </c>
      <c r="BX28" s="2">
        <v>156.69999999999999</v>
      </c>
      <c r="BY28" s="2">
        <v>162.30000000000001</v>
      </c>
      <c r="BZ28" s="2">
        <v>164.1</v>
      </c>
      <c r="CA28" s="2">
        <v>119.7</v>
      </c>
      <c r="CB28" s="2">
        <v>168.8</v>
      </c>
      <c r="CC28" s="2">
        <v>162.69999999999999</v>
      </c>
      <c r="CD28" s="2">
        <v>173.9</v>
      </c>
      <c r="CE28" s="2">
        <v>164</v>
      </c>
      <c r="CF28" s="2">
        <v>192.1</v>
      </c>
      <c r="CG28" s="2">
        <v>164.6</v>
      </c>
      <c r="CH28" s="2">
        <v>155.30000000000001</v>
      </c>
      <c r="CI28" s="2">
        <v>163.30000000000001</v>
      </c>
      <c r="CJ28" s="2">
        <v>162.1</v>
      </c>
      <c r="CK28" s="2">
        <v>162.6</v>
      </c>
      <c r="CL28" s="2">
        <v>157.5</v>
      </c>
      <c r="CM28" s="2">
        <v>168.4</v>
      </c>
      <c r="CN28" s="2">
        <v>154</v>
      </c>
      <c r="CO28" s="2">
        <v>157.69999999999999</v>
      </c>
      <c r="CP28" s="2">
        <v>163.69999999999999</v>
      </c>
      <c r="CQ28" s="2">
        <v>160</v>
      </c>
      <c r="CR28" s="2">
        <v>160</v>
      </c>
      <c r="CS28" s="2">
        <v>164.76923076923077</v>
      </c>
      <c r="CT28" s="2">
        <v>174.89999999999998</v>
      </c>
      <c r="CU28" s="2">
        <v>159.80000000000001</v>
      </c>
      <c r="CV28" s="2">
        <v>164.2</v>
      </c>
      <c r="CW28" s="2">
        <v>161.06666666666666</v>
      </c>
      <c r="CX28" s="2">
        <v>163.19999999999999</v>
      </c>
      <c r="CY28" s="1">
        <v>0</v>
      </c>
      <c r="CZ28">
        <f>VLOOKUP(BR28,'OIL PRICE'!$A$1:$B$27,2,0)</f>
        <v>73.13</v>
      </c>
    </row>
    <row r="29" spans="1:104" x14ac:dyDescent="0.25">
      <c r="A29" t="s">
        <v>30</v>
      </c>
      <c r="B29">
        <v>2013</v>
      </c>
      <c r="C29" t="s">
        <v>42</v>
      </c>
      <c r="D29" s="2">
        <v>116.3</v>
      </c>
      <c r="E29" s="2">
        <v>115.4</v>
      </c>
      <c r="F29" s="2">
        <v>112.6</v>
      </c>
      <c r="G29" s="2">
        <v>111.7</v>
      </c>
      <c r="H29" s="2">
        <v>107.7</v>
      </c>
      <c r="I29" s="2">
        <v>113.2</v>
      </c>
      <c r="J29" s="2">
        <v>164.9</v>
      </c>
      <c r="K29" s="2">
        <v>108.3</v>
      </c>
      <c r="L29" s="2">
        <v>103.9</v>
      </c>
      <c r="M29" s="2">
        <v>108.2</v>
      </c>
      <c r="N29" s="2">
        <v>111.1</v>
      </c>
      <c r="O29" s="2">
        <v>114.9</v>
      </c>
      <c r="P29" s="2">
        <v>119.8</v>
      </c>
      <c r="Q29" s="2">
        <v>112.2</v>
      </c>
      <c r="R29" s="2">
        <v>113.6</v>
      </c>
      <c r="S29" s="2">
        <v>112.3</v>
      </c>
      <c r="T29" s="2">
        <v>113.4</v>
      </c>
      <c r="U29" s="2">
        <v>0</v>
      </c>
      <c r="V29" s="2">
        <v>111.6</v>
      </c>
      <c r="W29" s="2">
        <v>110.4</v>
      </c>
      <c r="X29" s="2">
        <v>108.9</v>
      </c>
      <c r="Y29" s="2">
        <v>109.3</v>
      </c>
      <c r="Z29" s="2">
        <v>108.3</v>
      </c>
      <c r="AA29" s="2">
        <v>110.2</v>
      </c>
      <c r="AB29" s="2">
        <v>107.5</v>
      </c>
      <c r="AC29" s="2">
        <v>109.1</v>
      </c>
      <c r="AD29" s="2">
        <f>AVERAGE(All_India_Index_Upto_April23_CPI_data[[#This Row],[Cereals and products]:[Food and beverages]])</f>
        <v>116</v>
      </c>
      <c r="AE29" s="2">
        <f>AVERAGE(All_India_Index_Upto_April23_CPI_data[[#This Row],[Recreation and amusement]],All_India_Index_Upto_April23_CPI_data[[#This Row],[Pan, tobacco and intoxicants]])</f>
        <v>110.25</v>
      </c>
      <c r="AF29" s="2">
        <f>AVERAGE(All_India_Index_Upto_April23_CPI_data[[#This Row],[Household goods and services]],All_India_Index_Upto_April23_CPI_data[[#This Row],[Housing]])</f>
        <v>55.2</v>
      </c>
      <c r="AG29" s="2">
        <f>AVERAGE(All_India_Index_Upto_April23_CPI_data[[#This Row],[Personal care and effects]],All_India_Index_Upto_April23_CPI_data[[#This Row],[Health]])</f>
        <v>108.2</v>
      </c>
      <c r="AH29" s="2">
        <f>AVERAGE(All_India_Index_Upto_April23_CPI_data[[#This Row],[Clothing]:[Clothing and footwear]])</f>
        <v>113.09999999999998</v>
      </c>
      <c r="AI29" s="2">
        <v>115.5</v>
      </c>
      <c r="AJ29" s="1">
        <f>(All_India_Index_Upto_April23_CPI_data[[#This Row],[General index]]-AI26)/AI26</f>
        <v>1.1383537653239904E-2</v>
      </c>
      <c r="AQ29" t="s">
        <v>30</v>
      </c>
      <c r="AR29">
        <v>2023</v>
      </c>
      <c r="AS29" t="s">
        <v>34</v>
      </c>
      <c r="AT29" s="2">
        <v>174.2</v>
      </c>
      <c r="AU29" s="2">
        <v>205.2</v>
      </c>
      <c r="AV29" s="2">
        <v>173.9</v>
      </c>
      <c r="AW29" s="2">
        <v>177</v>
      </c>
      <c r="AX29" s="2">
        <v>183.4</v>
      </c>
      <c r="AY29" s="2">
        <v>167.2</v>
      </c>
      <c r="AZ29" s="2">
        <v>140.9</v>
      </c>
      <c r="BA29" s="2">
        <v>170.4</v>
      </c>
      <c r="BB29" s="2">
        <v>119.1</v>
      </c>
      <c r="BC29" s="2">
        <v>212.1</v>
      </c>
      <c r="BD29" s="2">
        <v>177.6</v>
      </c>
      <c r="BE29" s="2">
        <v>189.9</v>
      </c>
      <c r="BF29" s="2">
        <v>174.8</v>
      </c>
      <c r="BG29" s="2">
        <v>174.28461538461536</v>
      </c>
      <c r="BH29" s="2">
        <f t="shared" si="1"/>
        <v>-1.3461538461538964</v>
      </c>
      <c r="BI29" s="1">
        <f t="shared" si="2"/>
        <v>-7.6646811492644754E-3</v>
      </c>
      <c r="BJ29" s="2"/>
      <c r="BK29" s="2"/>
      <c r="BL29" s="2"/>
      <c r="BM29" s="2"/>
      <c r="BN29" s="2"/>
      <c r="BO29" t="s">
        <v>30</v>
      </c>
      <c r="BP29">
        <v>2021</v>
      </c>
      <c r="BQ29" t="s">
        <v>42</v>
      </c>
      <c r="BR29" s="11">
        <f t="shared" si="0"/>
        <v>44470</v>
      </c>
      <c r="BS29" s="2">
        <v>146.1</v>
      </c>
      <c r="BT29" s="2">
        <v>202.5</v>
      </c>
      <c r="BU29" s="2">
        <v>170.1</v>
      </c>
      <c r="BV29" s="2">
        <v>158.4</v>
      </c>
      <c r="BW29" s="2">
        <v>198.8</v>
      </c>
      <c r="BX29" s="2">
        <v>152.6</v>
      </c>
      <c r="BY29" s="2">
        <v>170.4</v>
      </c>
      <c r="BZ29" s="2">
        <v>165.2</v>
      </c>
      <c r="CA29" s="2">
        <v>121.6</v>
      </c>
      <c r="CB29" s="2">
        <v>170.6</v>
      </c>
      <c r="CC29" s="2">
        <v>168.8</v>
      </c>
      <c r="CD29" s="2">
        <v>173.6</v>
      </c>
      <c r="CE29" s="2">
        <v>165.5</v>
      </c>
      <c r="CF29" s="2">
        <v>191.2</v>
      </c>
      <c r="CG29" s="2">
        <v>168.9</v>
      </c>
      <c r="CH29" s="2">
        <v>164.8</v>
      </c>
      <c r="CI29" s="2">
        <v>168.3</v>
      </c>
      <c r="CJ29" s="2">
        <v>0</v>
      </c>
      <c r="CK29" s="2">
        <v>165.5</v>
      </c>
      <c r="CL29" s="2">
        <v>162</v>
      </c>
      <c r="CM29" s="2">
        <v>172.5</v>
      </c>
      <c r="CN29" s="2">
        <v>159.5</v>
      </c>
      <c r="CO29" s="2">
        <v>163.19999999999999</v>
      </c>
      <c r="CP29" s="2">
        <v>169</v>
      </c>
      <c r="CQ29" s="2">
        <v>161.1</v>
      </c>
      <c r="CR29" s="2">
        <v>164.7</v>
      </c>
      <c r="CS29" s="2">
        <v>166.47692307692307</v>
      </c>
      <c r="CT29" s="2">
        <v>177.2</v>
      </c>
      <c r="CU29" s="2">
        <v>81</v>
      </c>
      <c r="CV29" s="2">
        <v>166.8</v>
      </c>
      <c r="CW29" s="2">
        <v>167.33333333333334</v>
      </c>
      <c r="CX29" s="2">
        <v>166.3</v>
      </c>
      <c r="CY29" s="1">
        <v>1.4024390243902509E-2</v>
      </c>
      <c r="CZ29">
        <f>VLOOKUP(BR29,'OIL PRICE'!$A$1:$B$27,2,0)</f>
        <v>82.11</v>
      </c>
    </row>
    <row r="30" spans="1:104" x14ac:dyDescent="0.25">
      <c r="A30" t="s">
        <v>32</v>
      </c>
      <c r="B30">
        <v>2013</v>
      </c>
      <c r="C30" t="s">
        <v>42</v>
      </c>
      <c r="D30" s="2">
        <v>118.9</v>
      </c>
      <c r="E30" s="2">
        <v>118.1</v>
      </c>
      <c r="F30" s="2">
        <v>114.5</v>
      </c>
      <c r="G30" s="2">
        <v>110.4</v>
      </c>
      <c r="H30" s="2">
        <v>102.3</v>
      </c>
      <c r="I30" s="2">
        <v>106.2</v>
      </c>
      <c r="J30" s="2">
        <v>183.5</v>
      </c>
      <c r="K30" s="2">
        <v>105.3</v>
      </c>
      <c r="L30" s="2">
        <v>100.2</v>
      </c>
      <c r="M30" s="2">
        <v>109.6</v>
      </c>
      <c r="N30" s="2">
        <v>111.4</v>
      </c>
      <c r="O30" s="2">
        <v>116</v>
      </c>
      <c r="P30" s="2">
        <v>120.8</v>
      </c>
      <c r="Q30" s="2">
        <v>113.5</v>
      </c>
      <c r="R30" s="2">
        <v>112.5</v>
      </c>
      <c r="S30" s="2">
        <v>109.7</v>
      </c>
      <c r="T30" s="2">
        <v>112</v>
      </c>
      <c r="U30" s="2">
        <v>110.5</v>
      </c>
      <c r="V30" s="2">
        <v>109.7</v>
      </c>
      <c r="W30" s="2">
        <v>110.2</v>
      </c>
      <c r="X30" s="2">
        <v>108.2</v>
      </c>
      <c r="Y30" s="2">
        <v>109.7</v>
      </c>
      <c r="Z30" s="2">
        <v>108</v>
      </c>
      <c r="AA30" s="2">
        <v>111.3</v>
      </c>
      <c r="AB30" s="2">
        <v>107.3</v>
      </c>
      <c r="AC30" s="2">
        <v>109.4</v>
      </c>
      <c r="AD30" s="2">
        <f>AVERAGE(All_India_Index_Upto_April23_CPI_data[[#This Row],[Cereals and products]:[Food and beverages]])</f>
        <v>116.7076923076923</v>
      </c>
      <c r="AE30" s="2">
        <f>AVERAGE(All_India_Index_Upto_April23_CPI_data[[#This Row],[Recreation and amusement]],All_India_Index_Upto_April23_CPI_data[[#This Row],[Pan, tobacco and intoxicants]])</f>
        <v>110.75</v>
      </c>
      <c r="AF30" s="2">
        <f>AVERAGE(All_India_Index_Upto_April23_CPI_data[[#This Row],[Household goods and services]],All_India_Index_Upto_April23_CPI_data[[#This Row],[Housing]])</f>
        <v>110.35</v>
      </c>
      <c r="AG30" s="2">
        <f>AVERAGE(All_India_Index_Upto_April23_CPI_data[[#This Row],[Personal care and effects]],All_India_Index_Upto_April23_CPI_data[[#This Row],[Health]])</f>
        <v>107.75</v>
      </c>
      <c r="AH30" s="2">
        <f>AVERAGE(All_India_Index_Upto_April23_CPI_data[[#This Row],[Clothing]:[Clothing and footwear]])</f>
        <v>111.39999999999999</v>
      </c>
      <c r="AI30" s="2">
        <v>114</v>
      </c>
      <c r="AJ30" s="1">
        <f>(All_India_Index_Upto_April23_CPI_data[[#This Row],[General index]]-AI27)/AI27</f>
        <v>7.0671378091872539E-3</v>
      </c>
      <c r="AQ30" t="s">
        <v>32</v>
      </c>
      <c r="AR30">
        <v>2023</v>
      </c>
      <c r="AS30" t="s">
        <v>34</v>
      </c>
      <c r="AT30" s="2">
        <v>174.7</v>
      </c>
      <c r="AU30" s="2">
        <v>212.2</v>
      </c>
      <c r="AV30" s="2">
        <v>177.2</v>
      </c>
      <c r="AW30" s="2">
        <v>177.9</v>
      </c>
      <c r="AX30" s="2">
        <v>172.2</v>
      </c>
      <c r="AY30" s="2">
        <v>172.1</v>
      </c>
      <c r="AZ30" s="2">
        <v>175.8</v>
      </c>
      <c r="BA30" s="2">
        <v>172.2</v>
      </c>
      <c r="BB30" s="2">
        <v>121.9</v>
      </c>
      <c r="BC30" s="2">
        <v>204.8</v>
      </c>
      <c r="BD30" s="2">
        <v>164.9</v>
      </c>
      <c r="BE30" s="2">
        <v>196.6</v>
      </c>
      <c r="BF30" s="2">
        <v>180.7</v>
      </c>
      <c r="BG30" s="2">
        <v>177.16923076923075</v>
      </c>
      <c r="BH30" s="2">
        <f t="shared" si="1"/>
        <v>-0.53846153846157563</v>
      </c>
      <c r="BI30" s="1">
        <f t="shared" si="2"/>
        <v>-3.0300406891180342E-3</v>
      </c>
      <c r="BJ30" s="2"/>
      <c r="BK30" s="2"/>
      <c r="BL30" s="2"/>
      <c r="BM30" s="2"/>
      <c r="BN30" s="2"/>
      <c r="BO30" t="s">
        <v>32</v>
      </c>
      <c r="BP30">
        <v>2021</v>
      </c>
      <c r="BQ30" t="s">
        <v>42</v>
      </c>
      <c r="BR30" s="11">
        <f t="shared" si="0"/>
        <v>44470</v>
      </c>
      <c r="BS30" s="2">
        <v>150.1</v>
      </c>
      <c r="BT30" s="2">
        <v>208.4</v>
      </c>
      <c r="BU30" s="2">
        <v>173</v>
      </c>
      <c r="BV30" s="2">
        <v>159.19999999999999</v>
      </c>
      <c r="BW30" s="2">
        <v>176.6</v>
      </c>
      <c r="BX30" s="2">
        <v>159.30000000000001</v>
      </c>
      <c r="BY30" s="2">
        <v>214.4</v>
      </c>
      <c r="BZ30" s="2">
        <v>165.3</v>
      </c>
      <c r="CA30" s="2">
        <v>122.5</v>
      </c>
      <c r="CB30" s="2">
        <v>166.8</v>
      </c>
      <c r="CC30" s="2">
        <v>155.4</v>
      </c>
      <c r="CD30" s="2">
        <v>175.9</v>
      </c>
      <c r="CE30" s="2">
        <v>171.5</v>
      </c>
      <c r="CF30" s="2">
        <v>197</v>
      </c>
      <c r="CG30" s="2">
        <v>160.80000000000001</v>
      </c>
      <c r="CH30" s="2">
        <v>144.4</v>
      </c>
      <c r="CI30" s="2">
        <v>158.30000000000001</v>
      </c>
      <c r="CJ30" s="2">
        <v>163.6</v>
      </c>
      <c r="CK30" s="2">
        <v>162.19999999999999</v>
      </c>
      <c r="CL30" s="2">
        <v>154.30000000000001</v>
      </c>
      <c r="CM30" s="2">
        <v>163.5</v>
      </c>
      <c r="CN30" s="2">
        <v>152.19999999999999</v>
      </c>
      <c r="CO30" s="2">
        <v>155.1</v>
      </c>
      <c r="CP30" s="2">
        <v>160.30000000000001</v>
      </c>
      <c r="CQ30" s="2">
        <v>160.30000000000001</v>
      </c>
      <c r="CR30" s="2">
        <v>157</v>
      </c>
      <c r="CS30" s="2">
        <v>169.10769230769236</v>
      </c>
      <c r="CT30" s="2">
        <v>176.05</v>
      </c>
      <c r="CU30" s="2">
        <v>158.94999999999999</v>
      </c>
      <c r="CV30" s="2">
        <v>161.9</v>
      </c>
      <c r="CW30" s="2">
        <v>154.50000000000003</v>
      </c>
      <c r="CX30" s="2">
        <v>164.6</v>
      </c>
      <c r="CY30" s="1">
        <v>1.4171287738755286E-2</v>
      </c>
      <c r="CZ30">
        <f>VLOOKUP(BR30,'OIL PRICE'!$A$1:$B$27,2,0)</f>
        <v>82.11</v>
      </c>
    </row>
    <row r="31" spans="1:104" x14ac:dyDescent="0.25">
      <c r="A31" t="s">
        <v>33</v>
      </c>
      <c r="B31">
        <v>2013</v>
      </c>
      <c r="C31" t="s">
        <v>42</v>
      </c>
      <c r="D31" s="2">
        <v>117.1</v>
      </c>
      <c r="E31" s="2">
        <v>116.3</v>
      </c>
      <c r="F31" s="2">
        <v>113.3</v>
      </c>
      <c r="G31" s="2">
        <v>111.2</v>
      </c>
      <c r="H31" s="2">
        <v>105.7</v>
      </c>
      <c r="I31" s="2">
        <v>109.9</v>
      </c>
      <c r="J31" s="2">
        <v>171.2</v>
      </c>
      <c r="K31" s="2">
        <v>107.3</v>
      </c>
      <c r="L31" s="2">
        <v>102.7</v>
      </c>
      <c r="M31" s="2">
        <v>108.7</v>
      </c>
      <c r="N31" s="2">
        <v>111.2</v>
      </c>
      <c r="O31" s="2">
        <v>115.4</v>
      </c>
      <c r="P31" s="2">
        <v>120.2</v>
      </c>
      <c r="Q31" s="2">
        <v>112.5</v>
      </c>
      <c r="R31" s="2">
        <v>113.2</v>
      </c>
      <c r="S31" s="2">
        <v>111.2</v>
      </c>
      <c r="T31" s="2">
        <v>112.8</v>
      </c>
      <c r="U31" s="2">
        <v>110.5</v>
      </c>
      <c r="V31" s="2">
        <v>110.9</v>
      </c>
      <c r="W31" s="2">
        <v>110.3</v>
      </c>
      <c r="X31" s="2">
        <v>108.6</v>
      </c>
      <c r="Y31" s="2">
        <v>109.5</v>
      </c>
      <c r="Z31" s="2">
        <v>108.1</v>
      </c>
      <c r="AA31" s="2">
        <v>110.8</v>
      </c>
      <c r="AB31" s="2">
        <v>107.4</v>
      </c>
      <c r="AC31" s="2">
        <v>109.2</v>
      </c>
      <c r="AD31" s="2">
        <f>AVERAGE(All_India_Index_Upto_April23_CPI_data[[#This Row],[Cereals and products]:[Food and beverages]])</f>
        <v>116.16923076923079</v>
      </c>
      <c r="AE31" s="2">
        <f>AVERAGE(All_India_Index_Upto_April23_CPI_data[[#This Row],[Recreation and amusement]],All_India_Index_Upto_April23_CPI_data[[#This Row],[Pan, tobacco and intoxicants]])</f>
        <v>110.3</v>
      </c>
      <c r="AF31" s="2">
        <f>AVERAGE(All_India_Index_Upto_April23_CPI_data[[#This Row],[Household goods and services]],All_India_Index_Upto_April23_CPI_data[[#This Row],[Housing]])</f>
        <v>110.4</v>
      </c>
      <c r="AG31" s="2">
        <f>AVERAGE(All_India_Index_Upto_April23_CPI_data[[#This Row],[Personal care and effects]],All_India_Index_Upto_April23_CPI_data[[#This Row],[Health]])</f>
        <v>108</v>
      </c>
      <c r="AH31" s="2">
        <f>AVERAGE(All_India_Index_Upto_April23_CPI_data[[#This Row],[Clothing]:[Clothing and footwear]])</f>
        <v>112.39999999999999</v>
      </c>
      <c r="AI31" s="2">
        <v>114.8</v>
      </c>
      <c r="AJ31" s="1">
        <f>(All_India_Index_Upto_April23_CPI_data[[#This Row],[General index]]-AI28)/AI28</f>
        <v>9.6745822339489376E-3</v>
      </c>
      <c r="AQ31" t="s">
        <v>33</v>
      </c>
      <c r="AR31">
        <v>2023</v>
      </c>
      <c r="AS31" t="s">
        <v>34</v>
      </c>
      <c r="AT31" s="2">
        <v>174.4</v>
      </c>
      <c r="AU31" s="2">
        <v>207.7</v>
      </c>
      <c r="AV31" s="2">
        <v>175.2</v>
      </c>
      <c r="AW31" s="2">
        <v>177.3</v>
      </c>
      <c r="AX31" s="2">
        <v>179.3</v>
      </c>
      <c r="AY31" s="2">
        <v>169.5</v>
      </c>
      <c r="AZ31" s="2">
        <v>152.69999999999999</v>
      </c>
      <c r="BA31" s="2">
        <v>171</v>
      </c>
      <c r="BB31" s="2">
        <v>120</v>
      </c>
      <c r="BC31" s="2">
        <v>209.7</v>
      </c>
      <c r="BD31" s="2">
        <v>172.3</v>
      </c>
      <c r="BE31" s="2">
        <v>193</v>
      </c>
      <c r="BF31" s="2">
        <v>177</v>
      </c>
      <c r="BG31" s="2">
        <v>175.3153846153846</v>
      </c>
      <c r="BH31" s="2">
        <f t="shared" si="1"/>
        <v>-1.0461538461538566</v>
      </c>
      <c r="BI31" s="1">
        <f t="shared" si="2"/>
        <v>-5.9318707201117182E-3</v>
      </c>
      <c r="BJ31" s="2"/>
      <c r="BK31" s="2"/>
      <c r="BL31" s="2"/>
      <c r="BM31" s="2"/>
      <c r="BN31" s="2"/>
      <c r="BO31" t="s">
        <v>33</v>
      </c>
      <c r="BP31">
        <v>2021</v>
      </c>
      <c r="BQ31" t="s">
        <v>42</v>
      </c>
      <c r="BR31" s="11">
        <f t="shared" si="0"/>
        <v>44470</v>
      </c>
      <c r="BS31" s="2">
        <v>147.4</v>
      </c>
      <c r="BT31" s="2">
        <v>204.6</v>
      </c>
      <c r="BU31" s="2">
        <v>171.2</v>
      </c>
      <c r="BV31" s="2">
        <v>158.69999999999999</v>
      </c>
      <c r="BW31" s="2">
        <v>190.6</v>
      </c>
      <c r="BX31" s="2">
        <v>155.69999999999999</v>
      </c>
      <c r="BY31" s="2">
        <v>185.3</v>
      </c>
      <c r="BZ31" s="2">
        <v>165.2</v>
      </c>
      <c r="CA31" s="2">
        <v>121.9</v>
      </c>
      <c r="CB31" s="2">
        <v>169.3</v>
      </c>
      <c r="CC31" s="2">
        <v>163.19999999999999</v>
      </c>
      <c r="CD31" s="2">
        <v>174.7</v>
      </c>
      <c r="CE31" s="2">
        <v>167.7</v>
      </c>
      <c r="CF31" s="2">
        <v>192.7</v>
      </c>
      <c r="CG31" s="2">
        <v>165.7</v>
      </c>
      <c r="CH31" s="2">
        <v>156.30000000000001</v>
      </c>
      <c r="CI31" s="2">
        <v>164.3</v>
      </c>
      <c r="CJ31" s="2">
        <v>163.6</v>
      </c>
      <c r="CK31" s="2">
        <v>164.2</v>
      </c>
      <c r="CL31" s="2">
        <v>158.4</v>
      </c>
      <c r="CM31" s="2">
        <v>169.1</v>
      </c>
      <c r="CN31" s="2">
        <v>155.69999999999999</v>
      </c>
      <c r="CO31" s="2">
        <v>158.6</v>
      </c>
      <c r="CP31" s="2">
        <v>163.9</v>
      </c>
      <c r="CQ31" s="2">
        <v>160.80000000000001</v>
      </c>
      <c r="CR31" s="2">
        <v>161</v>
      </c>
      <c r="CS31" s="2">
        <v>167.34615384615384</v>
      </c>
      <c r="CT31" s="2">
        <v>175.64999999999998</v>
      </c>
      <c r="CU31" s="2">
        <v>161</v>
      </c>
      <c r="CV31" s="2">
        <v>164.95</v>
      </c>
      <c r="CW31" s="2">
        <v>162.1</v>
      </c>
      <c r="CX31" s="2">
        <v>165.5</v>
      </c>
      <c r="CY31" s="1">
        <v>1.4093137254902032E-2</v>
      </c>
      <c r="CZ31">
        <f>VLOOKUP(BR31,'OIL PRICE'!$A$1:$B$27,2,0)</f>
        <v>82.11</v>
      </c>
    </row>
    <row r="32" spans="1:104" x14ac:dyDescent="0.25">
      <c r="A32" t="s">
        <v>30</v>
      </c>
      <c r="B32">
        <v>2013</v>
      </c>
      <c r="C32" t="s">
        <v>43</v>
      </c>
      <c r="D32" s="2">
        <v>117.3</v>
      </c>
      <c r="E32" s="2">
        <v>114.9</v>
      </c>
      <c r="F32" s="2">
        <v>116.2</v>
      </c>
      <c r="G32" s="2">
        <v>112.8</v>
      </c>
      <c r="H32" s="2">
        <v>108.9</v>
      </c>
      <c r="I32" s="2">
        <v>116.6</v>
      </c>
      <c r="J32" s="2">
        <v>178.1</v>
      </c>
      <c r="K32" s="2">
        <v>109.1</v>
      </c>
      <c r="L32" s="2">
        <v>103.6</v>
      </c>
      <c r="M32" s="2">
        <v>109</v>
      </c>
      <c r="N32" s="2">
        <v>111.8</v>
      </c>
      <c r="O32" s="2">
        <v>116</v>
      </c>
      <c r="P32" s="2">
        <v>122.5</v>
      </c>
      <c r="Q32" s="2">
        <v>112.8</v>
      </c>
      <c r="R32" s="2">
        <v>114.6</v>
      </c>
      <c r="S32" s="2">
        <v>113.1</v>
      </c>
      <c r="T32" s="2">
        <v>114.4</v>
      </c>
      <c r="U32" s="2">
        <v>0</v>
      </c>
      <c r="V32" s="2">
        <v>112.6</v>
      </c>
      <c r="W32" s="2">
        <v>111.3</v>
      </c>
      <c r="X32" s="2">
        <v>109.7</v>
      </c>
      <c r="Y32" s="2">
        <v>109.6</v>
      </c>
      <c r="Z32" s="2">
        <v>108.7</v>
      </c>
      <c r="AA32" s="2">
        <v>111</v>
      </c>
      <c r="AB32" s="2">
        <v>108.2</v>
      </c>
      <c r="AC32" s="2">
        <v>109.8</v>
      </c>
      <c r="AD32" s="2">
        <f>AVERAGE(All_India_Index_Upto_April23_CPI_data[[#This Row],[Cereals and products]:[Food and beverages]])</f>
        <v>118.21538461538461</v>
      </c>
      <c r="AE32" s="2">
        <f>AVERAGE(All_India_Index_Upto_April23_CPI_data[[#This Row],[Recreation and amusement]],All_India_Index_Upto_April23_CPI_data[[#This Row],[Pan, tobacco and intoxicants]])</f>
        <v>110.75</v>
      </c>
      <c r="AF32" s="2">
        <f>AVERAGE(All_India_Index_Upto_April23_CPI_data[[#This Row],[Household goods and services]],All_India_Index_Upto_April23_CPI_data[[#This Row],[Housing]])</f>
        <v>55.65</v>
      </c>
      <c r="AG32" s="2">
        <f>AVERAGE(All_India_Index_Upto_April23_CPI_data[[#This Row],[Personal care and effects]],All_India_Index_Upto_April23_CPI_data[[#This Row],[Health]])</f>
        <v>108.95</v>
      </c>
      <c r="AH32" s="2">
        <f>AVERAGE(All_India_Index_Upto_April23_CPI_data[[#This Row],[Clothing]:[Clothing and footwear]])</f>
        <v>114.03333333333335</v>
      </c>
      <c r="AI32" s="2">
        <v>117.4</v>
      </c>
      <c r="AJ32" s="1">
        <f>(All_India_Index_Upto_April23_CPI_data[[#This Row],[General index]]-AI29)/AI29</f>
        <v>1.64502164502165E-2</v>
      </c>
      <c r="AQ32" t="s">
        <v>30</v>
      </c>
      <c r="AR32">
        <v>2023</v>
      </c>
      <c r="AS32" t="s">
        <v>35</v>
      </c>
      <c r="AT32" s="2">
        <v>174.3</v>
      </c>
      <c r="AU32" s="2">
        <v>205.2</v>
      </c>
      <c r="AV32" s="2">
        <v>173.9</v>
      </c>
      <c r="AW32" s="2">
        <v>177</v>
      </c>
      <c r="AX32" s="2">
        <v>183.3</v>
      </c>
      <c r="AY32" s="2">
        <v>167.2</v>
      </c>
      <c r="AZ32" s="2">
        <v>140.9</v>
      </c>
      <c r="BA32" s="2">
        <v>170.5</v>
      </c>
      <c r="BB32" s="2">
        <v>119.1</v>
      </c>
      <c r="BC32" s="2">
        <v>212.1</v>
      </c>
      <c r="BD32" s="2">
        <v>177.6</v>
      </c>
      <c r="BE32" s="2">
        <v>189.9</v>
      </c>
      <c r="BF32" s="2">
        <v>174.8</v>
      </c>
      <c r="BG32" s="2">
        <v>174.2923076923077</v>
      </c>
      <c r="BH32" s="2">
        <f t="shared" si="1"/>
        <v>7.692307692337863E-3</v>
      </c>
      <c r="BI32" s="1">
        <f t="shared" si="2"/>
        <v>4.4136469965305305E-5</v>
      </c>
      <c r="BJ32" s="2"/>
      <c r="BK32" s="2"/>
      <c r="BL32" s="2"/>
      <c r="BM32" s="2"/>
      <c r="BN32" s="2"/>
      <c r="BO32" t="s">
        <v>30</v>
      </c>
      <c r="BP32">
        <v>2021</v>
      </c>
      <c r="BQ32" t="s">
        <v>43</v>
      </c>
      <c r="BR32" s="11">
        <f t="shared" si="0"/>
        <v>44501</v>
      </c>
      <c r="BS32" s="2">
        <v>146.9</v>
      </c>
      <c r="BT32" s="2">
        <v>199.8</v>
      </c>
      <c r="BU32" s="2">
        <v>171.5</v>
      </c>
      <c r="BV32" s="2">
        <v>159.1</v>
      </c>
      <c r="BW32" s="2">
        <v>198.4</v>
      </c>
      <c r="BX32" s="2">
        <v>153.19999999999999</v>
      </c>
      <c r="BY32" s="2">
        <v>183.9</v>
      </c>
      <c r="BZ32" s="2">
        <v>165.4</v>
      </c>
      <c r="CA32" s="2">
        <v>122.1</v>
      </c>
      <c r="CB32" s="2">
        <v>170.8</v>
      </c>
      <c r="CC32" s="2">
        <v>169.1</v>
      </c>
      <c r="CD32" s="2">
        <v>174.3</v>
      </c>
      <c r="CE32" s="2">
        <v>167.5</v>
      </c>
      <c r="CF32" s="2">
        <v>191.4</v>
      </c>
      <c r="CG32" s="2">
        <v>170.4</v>
      </c>
      <c r="CH32" s="2">
        <v>166</v>
      </c>
      <c r="CI32" s="2">
        <v>169.8</v>
      </c>
      <c r="CJ32" s="2">
        <v>0</v>
      </c>
      <c r="CK32" s="2">
        <v>165.3</v>
      </c>
      <c r="CL32" s="2">
        <v>162.9</v>
      </c>
      <c r="CM32" s="2">
        <v>173.4</v>
      </c>
      <c r="CN32" s="2">
        <v>158.9</v>
      </c>
      <c r="CO32" s="2">
        <v>163.80000000000001</v>
      </c>
      <c r="CP32" s="2">
        <v>169.3</v>
      </c>
      <c r="CQ32" s="2">
        <v>162.4</v>
      </c>
      <c r="CR32" s="2">
        <v>165.2</v>
      </c>
      <c r="CS32" s="2">
        <v>167.84615384615384</v>
      </c>
      <c r="CT32" s="2">
        <v>177.60000000000002</v>
      </c>
      <c r="CU32" s="2">
        <v>81.45</v>
      </c>
      <c r="CV32" s="2">
        <v>167.9</v>
      </c>
      <c r="CW32" s="2">
        <v>168.73333333333332</v>
      </c>
      <c r="CX32" s="2">
        <v>167.6</v>
      </c>
      <c r="CY32" s="1">
        <v>7.8171978352374188E-3</v>
      </c>
      <c r="CZ32">
        <f>VLOOKUP(BR32,'OIL PRICE'!$A$1:$B$27,2,0)</f>
        <v>80.64</v>
      </c>
    </row>
    <row r="33" spans="1:104" x14ac:dyDescent="0.25">
      <c r="A33" t="s">
        <v>32</v>
      </c>
      <c r="B33">
        <v>2013</v>
      </c>
      <c r="C33" t="s">
        <v>43</v>
      </c>
      <c r="D33" s="2">
        <v>119.8</v>
      </c>
      <c r="E33" s="2">
        <v>116.3</v>
      </c>
      <c r="F33" s="2">
        <v>122.6</v>
      </c>
      <c r="G33" s="2">
        <v>112</v>
      </c>
      <c r="H33" s="2">
        <v>103.2</v>
      </c>
      <c r="I33" s="2">
        <v>110</v>
      </c>
      <c r="J33" s="2">
        <v>192.8</v>
      </c>
      <c r="K33" s="2">
        <v>106.3</v>
      </c>
      <c r="L33" s="2">
        <v>99.5</v>
      </c>
      <c r="M33" s="2">
        <v>110.3</v>
      </c>
      <c r="N33" s="2">
        <v>111.8</v>
      </c>
      <c r="O33" s="2">
        <v>117.1</v>
      </c>
      <c r="P33" s="2">
        <v>122.9</v>
      </c>
      <c r="Q33" s="2">
        <v>114.1</v>
      </c>
      <c r="R33" s="2">
        <v>113.5</v>
      </c>
      <c r="S33" s="2">
        <v>110.3</v>
      </c>
      <c r="T33" s="2">
        <v>113</v>
      </c>
      <c r="U33" s="2">
        <v>111.1</v>
      </c>
      <c r="V33" s="2">
        <v>110</v>
      </c>
      <c r="W33" s="2">
        <v>110.9</v>
      </c>
      <c r="X33" s="2">
        <v>108.6</v>
      </c>
      <c r="Y33" s="2">
        <v>109.5</v>
      </c>
      <c r="Z33" s="2">
        <v>108.5</v>
      </c>
      <c r="AA33" s="2">
        <v>111.3</v>
      </c>
      <c r="AB33" s="2">
        <v>107.9</v>
      </c>
      <c r="AC33" s="2">
        <v>109.6</v>
      </c>
      <c r="AD33" s="2">
        <f>AVERAGE(All_India_Index_Upto_April23_CPI_data[[#This Row],[Cereals and products]:[Food and beverages]])</f>
        <v>118.8153846153846</v>
      </c>
      <c r="AE33" s="2">
        <f>AVERAGE(All_India_Index_Upto_April23_CPI_data[[#This Row],[Recreation and amusement]],All_India_Index_Upto_April23_CPI_data[[#This Row],[Pan, tobacco and intoxicants]])</f>
        <v>111.3</v>
      </c>
      <c r="AF33" s="2">
        <f>AVERAGE(All_India_Index_Upto_April23_CPI_data[[#This Row],[Household goods and services]],All_India_Index_Upto_April23_CPI_data[[#This Row],[Housing]])</f>
        <v>111</v>
      </c>
      <c r="AG33" s="2">
        <f>AVERAGE(All_India_Index_Upto_April23_CPI_data[[#This Row],[Personal care and effects]],All_India_Index_Upto_April23_CPI_data[[#This Row],[Health]])</f>
        <v>108.25</v>
      </c>
      <c r="AH33" s="2">
        <f>AVERAGE(All_India_Index_Upto_April23_CPI_data[[#This Row],[Clothing]:[Clothing and footwear]])</f>
        <v>112.26666666666667</v>
      </c>
      <c r="AI33" s="2">
        <v>115</v>
      </c>
      <c r="AJ33" s="1">
        <f>(All_India_Index_Upto_April23_CPI_data[[#This Row],[General index]]-AI30)/AI30</f>
        <v>8.771929824561403E-3</v>
      </c>
      <c r="AQ33" t="s">
        <v>32</v>
      </c>
      <c r="AR33">
        <v>2023</v>
      </c>
      <c r="AS33" t="s">
        <v>35</v>
      </c>
      <c r="AT33" s="2">
        <v>174.7</v>
      </c>
      <c r="AU33" s="2">
        <v>212.2</v>
      </c>
      <c r="AV33" s="2">
        <v>177.2</v>
      </c>
      <c r="AW33" s="2">
        <v>177.9</v>
      </c>
      <c r="AX33" s="2">
        <v>172.2</v>
      </c>
      <c r="AY33" s="2">
        <v>172.1</v>
      </c>
      <c r="AZ33" s="2">
        <v>175.9</v>
      </c>
      <c r="BA33" s="2">
        <v>172.2</v>
      </c>
      <c r="BB33" s="2">
        <v>121.9</v>
      </c>
      <c r="BC33" s="2">
        <v>204.8</v>
      </c>
      <c r="BD33" s="2">
        <v>164.9</v>
      </c>
      <c r="BE33" s="2">
        <v>196.6</v>
      </c>
      <c r="BF33" s="2">
        <v>180.8</v>
      </c>
      <c r="BG33" s="2">
        <v>177.1846153846154</v>
      </c>
      <c r="BH33" s="2">
        <f t="shared" si="1"/>
        <v>1.5384615384647304E-2</v>
      </c>
      <c r="BI33" s="1">
        <f t="shared" si="2"/>
        <v>8.6835706842833875E-5</v>
      </c>
      <c r="BJ33" s="2"/>
      <c r="BK33" s="2"/>
      <c r="BL33" s="2"/>
      <c r="BM33" s="2"/>
      <c r="BN33" s="2"/>
      <c r="BO33" t="s">
        <v>32</v>
      </c>
      <c r="BP33">
        <v>2021</v>
      </c>
      <c r="BQ33" t="s">
        <v>43</v>
      </c>
      <c r="BR33" s="11">
        <f t="shared" si="0"/>
        <v>44501</v>
      </c>
      <c r="BS33" s="2">
        <v>151</v>
      </c>
      <c r="BT33" s="2">
        <v>204.9</v>
      </c>
      <c r="BU33" s="2">
        <v>175.4</v>
      </c>
      <c r="BV33" s="2">
        <v>159.6</v>
      </c>
      <c r="BW33" s="2">
        <v>175.8</v>
      </c>
      <c r="BX33" s="2">
        <v>160.30000000000001</v>
      </c>
      <c r="BY33" s="2">
        <v>229.1</v>
      </c>
      <c r="BZ33" s="2">
        <v>165.1</v>
      </c>
      <c r="CA33" s="2">
        <v>123.1</v>
      </c>
      <c r="CB33" s="2">
        <v>167.2</v>
      </c>
      <c r="CC33" s="2">
        <v>156.1</v>
      </c>
      <c r="CD33" s="2">
        <v>176.8</v>
      </c>
      <c r="CE33" s="2">
        <v>173.5</v>
      </c>
      <c r="CF33" s="2">
        <v>197</v>
      </c>
      <c r="CG33" s="2">
        <v>162.30000000000001</v>
      </c>
      <c r="CH33" s="2">
        <v>145.30000000000001</v>
      </c>
      <c r="CI33" s="2">
        <v>159.69999999999999</v>
      </c>
      <c r="CJ33" s="2">
        <v>164.2</v>
      </c>
      <c r="CK33" s="2">
        <v>161.6</v>
      </c>
      <c r="CL33" s="2">
        <v>155.19999999999999</v>
      </c>
      <c r="CM33" s="2">
        <v>164.2</v>
      </c>
      <c r="CN33" s="2">
        <v>151.19999999999999</v>
      </c>
      <c r="CO33" s="2">
        <v>156.69999999999999</v>
      </c>
      <c r="CP33" s="2">
        <v>160.80000000000001</v>
      </c>
      <c r="CQ33" s="2">
        <v>161.80000000000001</v>
      </c>
      <c r="CR33" s="2">
        <v>157.30000000000001</v>
      </c>
      <c r="CS33" s="2">
        <v>170.60769230769228</v>
      </c>
      <c r="CT33" s="2">
        <v>176.85</v>
      </c>
      <c r="CU33" s="2">
        <v>159.69999999999999</v>
      </c>
      <c r="CV33" s="2">
        <v>163</v>
      </c>
      <c r="CW33" s="2">
        <v>155.76666666666668</v>
      </c>
      <c r="CX33" s="2">
        <v>165.6</v>
      </c>
      <c r="CY33" s="1">
        <v>6.0753341433778859E-3</v>
      </c>
      <c r="CZ33">
        <f>VLOOKUP(BR33,'OIL PRICE'!$A$1:$B$27,2,0)</f>
        <v>80.64</v>
      </c>
    </row>
    <row r="34" spans="1:104" x14ac:dyDescent="0.25">
      <c r="A34" t="s">
        <v>33</v>
      </c>
      <c r="B34">
        <v>2013</v>
      </c>
      <c r="C34" t="s">
        <v>43</v>
      </c>
      <c r="D34" s="2">
        <v>118.1</v>
      </c>
      <c r="E34" s="2">
        <v>115.4</v>
      </c>
      <c r="F34" s="2">
        <v>118.7</v>
      </c>
      <c r="G34" s="2">
        <v>112.5</v>
      </c>
      <c r="H34" s="2">
        <v>106.8</v>
      </c>
      <c r="I34" s="2">
        <v>113.5</v>
      </c>
      <c r="J34" s="2">
        <v>183.1</v>
      </c>
      <c r="K34" s="2">
        <v>108.2</v>
      </c>
      <c r="L34" s="2">
        <v>102.2</v>
      </c>
      <c r="M34" s="2">
        <v>109.4</v>
      </c>
      <c r="N34" s="2">
        <v>111.8</v>
      </c>
      <c r="O34" s="2">
        <v>116.5</v>
      </c>
      <c r="P34" s="2">
        <v>122.6</v>
      </c>
      <c r="Q34" s="2">
        <v>113.1</v>
      </c>
      <c r="R34" s="2">
        <v>114.2</v>
      </c>
      <c r="S34" s="2">
        <v>111.9</v>
      </c>
      <c r="T34" s="2">
        <v>113.8</v>
      </c>
      <c r="U34" s="2">
        <v>111.1</v>
      </c>
      <c r="V34" s="2">
        <v>111.6</v>
      </c>
      <c r="W34" s="2">
        <v>111.1</v>
      </c>
      <c r="X34" s="2">
        <v>109.3</v>
      </c>
      <c r="Y34" s="2">
        <v>109.5</v>
      </c>
      <c r="Z34" s="2">
        <v>108.6</v>
      </c>
      <c r="AA34" s="2">
        <v>111.2</v>
      </c>
      <c r="AB34" s="2">
        <v>108.1</v>
      </c>
      <c r="AC34" s="2">
        <v>109.7</v>
      </c>
      <c r="AD34" s="2">
        <f>AVERAGE(All_India_Index_Upto_April23_CPI_data[[#This Row],[Cereals and products]:[Food and beverages]])</f>
        <v>118.36923076923077</v>
      </c>
      <c r="AE34" s="2">
        <f>AVERAGE(All_India_Index_Upto_April23_CPI_data[[#This Row],[Recreation and amusement]],All_India_Index_Upto_April23_CPI_data[[#This Row],[Pan, tobacco and intoxicants]])</f>
        <v>110.85</v>
      </c>
      <c r="AF34" s="2">
        <f>AVERAGE(All_India_Index_Upto_April23_CPI_data[[#This Row],[Household goods and services]],All_India_Index_Upto_April23_CPI_data[[#This Row],[Housing]])</f>
        <v>111.1</v>
      </c>
      <c r="AG34" s="2">
        <f>AVERAGE(All_India_Index_Upto_April23_CPI_data[[#This Row],[Personal care and effects]],All_India_Index_Upto_April23_CPI_data[[#This Row],[Health]])</f>
        <v>108.69999999999999</v>
      </c>
      <c r="AH34" s="2">
        <f>AVERAGE(All_India_Index_Upto_April23_CPI_data[[#This Row],[Clothing]:[Clothing and footwear]])</f>
        <v>113.30000000000001</v>
      </c>
      <c r="AI34" s="2">
        <v>116.3</v>
      </c>
      <c r="AJ34" s="1">
        <f>(All_India_Index_Upto_April23_CPI_data[[#This Row],[General index]]-AI31)/AI31</f>
        <v>1.3066202090592335E-2</v>
      </c>
      <c r="AQ34" t="s">
        <v>33</v>
      </c>
      <c r="AR34">
        <v>2023</v>
      </c>
      <c r="AS34" t="s">
        <v>35</v>
      </c>
      <c r="AT34" s="2">
        <v>174.4</v>
      </c>
      <c r="AU34" s="2">
        <v>207.7</v>
      </c>
      <c r="AV34" s="2">
        <v>175.2</v>
      </c>
      <c r="AW34" s="2">
        <v>177.3</v>
      </c>
      <c r="AX34" s="2">
        <v>179.2</v>
      </c>
      <c r="AY34" s="2">
        <v>169.5</v>
      </c>
      <c r="AZ34" s="2">
        <v>152.80000000000001</v>
      </c>
      <c r="BA34" s="2">
        <v>171.1</v>
      </c>
      <c r="BB34" s="2">
        <v>120</v>
      </c>
      <c r="BC34" s="2">
        <v>209.7</v>
      </c>
      <c r="BD34" s="2">
        <v>172.3</v>
      </c>
      <c r="BE34" s="2">
        <v>193</v>
      </c>
      <c r="BF34" s="2">
        <v>177</v>
      </c>
      <c r="BG34" s="2">
        <v>175.32307692307691</v>
      </c>
      <c r="BH34" s="2">
        <f t="shared" si="1"/>
        <v>7.6923076923094413E-3</v>
      </c>
      <c r="BI34" s="1">
        <f t="shared" si="2"/>
        <v>4.3876968978992914E-5</v>
      </c>
      <c r="BJ34" s="2"/>
      <c r="BK34" s="2"/>
      <c r="BL34" s="2"/>
      <c r="BM34" s="2"/>
      <c r="BN34" s="2"/>
      <c r="BO34" t="s">
        <v>33</v>
      </c>
      <c r="BP34">
        <v>2021</v>
      </c>
      <c r="BQ34" t="s">
        <v>43</v>
      </c>
      <c r="BR34" s="11">
        <f t="shared" si="0"/>
        <v>44501</v>
      </c>
      <c r="BS34" s="2">
        <v>148.19999999999999</v>
      </c>
      <c r="BT34" s="2">
        <v>201.6</v>
      </c>
      <c r="BU34" s="2">
        <v>173</v>
      </c>
      <c r="BV34" s="2">
        <v>159.30000000000001</v>
      </c>
      <c r="BW34" s="2">
        <v>190.1</v>
      </c>
      <c r="BX34" s="2">
        <v>156.5</v>
      </c>
      <c r="BY34" s="2">
        <v>199.2</v>
      </c>
      <c r="BZ34" s="2">
        <v>165.3</v>
      </c>
      <c r="CA34" s="2">
        <v>122.4</v>
      </c>
      <c r="CB34" s="2">
        <v>169.6</v>
      </c>
      <c r="CC34" s="2">
        <v>163.69999999999999</v>
      </c>
      <c r="CD34" s="2">
        <v>175.5</v>
      </c>
      <c r="CE34" s="2">
        <v>169.7</v>
      </c>
      <c r="CF34" s="2">
        <v>192.9</v>
      </c>
      <c r="CG34" s="2">
        <v>167.2</v>
      </c>
      <c r="CH34" s="2">
        <v>157.4</v>
      </c>
      <c r="CI34" s="2">
        <v>165.8</v>
      </c>
      <c r="CJ34" s="2">
        <v>164.2</v>
      </c>
      <c r="CK34" s="2">
        <v>163.9</v>
      </c>
      <c r="CL34" s="2">
        <v>159.30000000000001</v>
      </c>
      <c r="CM34" s="2">
        <v>169.9</v>
      </c>
      <c r="CN34" s="2">
        <v>154.80000000000001</v>
      </c>
      <c r="CO34" s="2">
        <v>159.80000000000001</v>
      </c>
      <c r="CP34" s="2">
        <v>164.3</v>
      </c>
      <c r="CQ34" s="2">
        <v>162.19999999999999</v>
      </c>
      <c r="CR34" s="2">
        <v>161.4</v>
      </c>
      <c r="CS34" s="2">
        <v>168.77692307692308</v>
      </c>
      <c r="CT34" s="2">
        <v>176.35000000000002</v>
      </c>
      <c r="CU34" s="2">
        <v>161.75</v>
      </c>
      <c r="CV34" s="2">
        <v>166.05</v>
      </c>
      <c r="CW34" s="2">
        <v>163.46666666666667</v>
      </c>
      <c r="CX34" s="2">
        <v>166.7</v>
      </c>
      <c r="CY34" s="1">
        <v>7.2507552870089949E-3</v>
      </c>
      <c r="CZ34">
        <f>VLOOKUP(BR34,'OIL PRICE'!$A$1:$B$27,2,0)</f>
        <v>80.64</v>
      </c>
    </row>
    <row r="35" spans="1:104" x14ac:dyDescent="0.25">
      <c r="A35" t="s">
        <v>30</v>
      </c>
      <c r="B35">
        <v>2013</v>
      </c>
      <c r="C35" t="s">
        <v>44</v>
      </c>
      <c r="D35" s="2">
        <v>118.4</v>
      </c>
      <c r="E35" s="2">
        <v>115.9</v>
      </c>
      <c r="F35" s="2">
        <v>120.4</v>
      </c>
      <c r="G35" s="2">
        <v>113.8</v>
      </c>
      <c r="H35" s="2">
        <v>109.5</v>
      </c>
      <c r="I35" s="2">
        <v>115.5</v>
      </c>
      <c r="J35" s="2">
        <v>145.69999999999999</v>
      </c>
      <c r="K35" s="2">
        <v>109.5</v>
      </c>
      <c r="L35" s="2">
        <v>102.9</v>
      </c>
      <c r="M35" s="2">
        <v>109.8</v>
      </c>
      <c r="N35" s="2">
        <v>112.1</v>
      </c>
      <c r="O35" s="2">
        <v>116.8</v>
      </c>
      <c r="P35" s="2">
        <v>118.7</v>
      </c>
      <c r="Q35" s="2">
        <v>113.6</v>
      </c>
      <c r="R35" s="2">
        <v>115.8</v>
      </c>
      <c r="S35" s="2">
        <v>114</v>
      </c>
      <c r="T35" s="2">
        <v>115.5</v>
      </c>
      <c r="U35" s="2">
        <v>0</v>
      </c>
      <c r="V35" s="2">
        <v>112.8</v>
      </c>
      <c r="W35" s="2">
        <v>112.1</v>
      </c>
      <c r="X35" s="2">
        <v>110.1</v>
      </c>
      <c r="Y35" s="2">
        <v>109.9</v>
      </c>
      <c r="Z35" s="2">
        <v>109.2</v>
      </c>
      <c r="AA35" s="2">
        <v>111.6</v>
      </c>
      <c r="AB35" s="2">
        <v>108.1</v>
      </c>
      <c r="AC35" s="2">
        <v>110.1</v>
      </c>
      <c r="AD35" s="2">
        <f>AVERAGE(All_India_Index_Upto_April23_CPI_data[[#This Row],[Cereals and products]:[Food and beverages]])</f>
        <v>116.07692307692308</v>
      </c>
      <c r="AE35" s="2">
        <f>AVERAGE(All_India_Index_Upto_April23_CPI_data[[#This Row],[Recreation and amusement]],All_India_Index_Upto_April23_CPI_data[[#This Row],[Pan, tobacco and intoxicants]])</f>
        <v>111.4</v>
      </c>
      <c r="AF35" s="2">
        <f>AVERAGE(All_India_Index_Upto_April23_CPI_data[[#This Row],[Household goods and services]],All_India_Index_Upto_April23_CPI_data[[#This Row],[Housing]])</f>
        <v>56.05</v>
      </c>
      <c r="AG35" s="2">
        <f>AVERAGE(All_India_Index_Upto_April23_CPI_data[[#This Row],[Personal care and effects]],All_India_Index_Upto_April23_CPI_data[[#This Row],[Health]])</f>
        <v>109.1</v>
      </c>
      <c r="AH35" s="2">
        <f>AVERAGE(All_India_Index_Upto_April23_CPI_data[[#This Row],[Clothing]:[Clothing and footwear]])</f>
        <v>115.10000000000001</v>
      </c>
      <c r="AI35" s="2">
        <v>115.5</v>
      </c>
      <c r="AJ35" s="1">
        <f>(All_India_Index_Upto_April23_CPI_data[[#This Row],[General index]]-AI32)/AI32</f>
        <v>-1.6183986371379945E-2</v>
      </c>
      <c r="AQ35" t="s">
        <v>30</v>
      </c>
      <c r="AR35">
        <v>2023</v>
      </c>
      <c r="AS35" t="s">
        <v>36</v>
      </c>
      <c r="AT35" s="2">
        <v>173.3</v>
      </c>
      <c r="AU35" s="2">
        <v>206.9</v>
      </c>
      <c r="AV35" s="2">
        <v>167.9</v>
      </c>
      <c r="AW35" s="2">
        <v>178.2</v>
      </c>
      <c r="AX35" s="2">
        <v>178.5</v>
      </c>
      <c r="AY35" s="2">
        <v>173.7</v>
      </c>
      <c r="AZ35" s="2">
        <v>142.80000000000001</v>
      </c>
      <c r="BA35" s="2">
        <v>172.8</v>
      </c>
      <c r="BB35" s="2">
        <v>120.4</v>
      </c>
      <c r="BC35" s="2">
        <v>215.5</v>
      </c>
      <c r="BD35" s="2">
        <v>178.2</v>
      </c>
      <c r="BE35" s="2">
        <v>190.5</v>
      </c>
      <c r="BF35" s="2">
        <v>175.5</v>
      </c>
      <c r="BG35" s="2">
        <v>174.93846153846152</v>
      </c>
      <c r="BH35" s="2">
        <f t="shared" si="1"/>
        <v>0.64615384615382254</v>
      </c>
      <c r="BI35" s="1">
        <f t="shared" si="2"/>
        <v>3.7072998499424895E-3</v>
      </c>
      <c r="BJ35" s="2"/>
      <c r="BK35" s="2"/>
      <c r="BL35" s="2"/>
      <c r="BM35" s="2"/>
      <c r="BN35" s="2"/>
      <c r="BO35" t="s">
        <v>30</v>
      </c>
      <c r="BP35">
        <v>2021</v>
      </c>
      <c r="BQ35" t="s">
        <v>44</v>
      </c>
      <c r="BR35" s="11">
        <f t="shared" si="0"/>
        <v>44531</v>
      </c>
      <c r="BS35" s="2">
        <v>147.4</v>
      </c>
      <c r="BT35" s="2">
        <v>197</v>
      </c>
      <c r="BU35" s="2">
        <v>176.5</v>
      </c>
      <c r="BV35" s="2">
        <v>159.80000000000001</v>
      </c>
      <c r="BW35" s="2">
        <v>195.8</v>
      </c>
      <c r="BX35" s="2">
        <v>152</v>
      </c>
      <c r="BY35" s="2">
        <v>172.3</v>
      </c>
      <c r="BZ35" s="2">
        <v>164.5</v>
      </c>
      <c r="CA35" s="2">
        <v>120.6</v>
      </c>
      <c r="CB35" s="2">
        <v>171.7</v>
      </c>
      <c r="CC35" s="2">
        <v>169.7</v>
      </c>
      <c r="CD35" s="2">
        <v>175.1</v>
      </c>
      <c r="CE35" s="2">
        <v>165.8</v>
      </c>
      <c r="CF35" s="2">
        <v>190.8</v>
      </c>
      <c r="CG35" s="2">
        <v>171.8</v>
      </c>
      <c r="CH35" s="2">
        <v>167.3</v>
      </c>
      <c r="CI35" s="2">
        <v>171.2</v>
      </c>
      <c r="CJ35" s="2">
        <v>0</v>
      </c>
      <c r="CK35" s="2">
        <v>165.6</v>
      </c>
      <c r="CL35" s="2">
        <v>163.9</v>
      </c>
      <c r="CM35" s="2">
        <v>174</v>
      </c>
      <c r="CN35" s="2">
        <v>160.1</v>
      </c>
      <c r="CO35" s="2">
        <v>164.5</v>
      </c>
      <c r="CP35" s="2">
        <v>169.7</v>
      </c>
      <c r="CQ35" s="2">
        <v>162.80000000000001</v>
      </c>
      <c r="CR35" s="2">
        <v>166</v>
      </c>
      <c r="CS35" s="2">
        <v>166.78461538461536</v>
      </c>
      <c r="CT35" s="2">
        <v>177.65</v>
      </c>
      <c r="CU35" s="2">
        <v>81.95</v>
      </c>
      <c r="CV35" s="2">
        <v>168.4</v>
      </c>
      <c r="CW35" s="2">
        <v>170.1</v>
      </c>
      <c r="CX35" s="2">
        <v>167</v>
      </c>
      <c r="CY35" s="1">
        <v>-3.579952267303069E-3</v>
      </c>
      <c r="CZ35">
        <f>VLOOKUP(BR35,'OIL PRICE'!$A$1:$B$27,2,0)</f>
        <v>73.3</v>
      </c>
    </row>
    <row r="36" spans="1:104" x14ac:dyDescent="0.25">
      <c r="A36" t="s">
        <v>32</v>
      </c>
      <c r="B36">
        <v>2013</v>
      </c>
      <c r="C36" t="s">
        <v>44</v>
      </c>
      <c r="D36" s="2">
        <v>120.5</v>
      </c>
      <c r="E36" s="2">
        <v>118.1</v>
      </c>
      <c r="F36" s="2">
        <v>128.5</v>
      </c>
      <c r="G36" s="2">
        <v>112.8</v>
      </c>
      <c r="H36" s="2">
        <v>103.4</v>
      </c>
      <c r="I36" s="2">
        <v>110.7</v>
      </c>
      <c r="J36" s="2">
        <v>144.80000000000001</v>
      </c>
      <c r="K36" s="2">
        <v>107.1</v>
      </c>
      <c r="L36" s="2">
        <v>98.6</v>
      </c>
      <c r="M36" s="2">
        <v>111.9</v>
      </c>
      <c r="N36" s="2">
        <v>112.1</v>
      </c>
      <c r="O36" s="2">
        <v>118.1</v>
      </c>
      <c r="P36" s="2">
        <v>117.8</v>
      </c>
      <c r="Q36" s="2">
        <v>115</v>
      </c>
      <c r="R36" s="2">
        <v>114.2</v>
      </c>
      <c r="S36" s="2">
        <v>110.9</v>
      </c>
      <c r="T36" s="2">
        <v>113.7</v>
      </c>
      <c r="U36" s="2">
        <v>110.7</v>
      </c>
      <c r="V36" s="2">
        <v>110.4</v>
      </c>
      <c r="W36" s="2">
        <v>111.3</v>
      </c>
      <c r="X36" s="2">
        <v>109</v>
      </c>
      <c r="Y36" s="2">
        <v>109.7</v>
      </c>
      <c r="Z36" s="2">
        <v>108.9</v>
      </c>
      <c r="AA36" s="2">
        <v>111.4</v>
      </c>
      <c r="AB36" s="2">
        <v>107.7</v>
      </c>
      <c r="AC36" s="2">
        <v>109.8</v>
      </c>
      <c r="AD36" s="2">
        <f>AVERAGE(All_India_Index_Upto_April23_CPI_data[[#This Row],[Cereals and products]:[Food and beverages]])</f>
        <v>115.72307692307693</v>
      </c>
      <c r="AE36" s="2">
        <f>AVERAGE(All_India_Index_Upto_April23_CPI_data[[#This Row],[Recreation and amusement]],All_India_Index_Upto_April23_CPI_data[[#This Row],[Pan, tobacco and intoxicants]])</f>
        <v>111.95</v>
      </c>
      <c r="AF36" s="2">
        <f>AVERAGE(All_India_Index_Upto_April23_CPI_data[[#This Row],[Household goods and services]],All_India_Index_Upto_April23_CPI_data[[#This Row],[Housing]])</f>
        <v>111</v>
      </c>
      <c r="AG36" s="2">
        <f>AVERAGE(All_India_Index_Upto_April23_CPI_data[[#This Row],[Personal care and effects]],All_India_Index_Upto_April23_CPI_data[[#This Row],[Health]])</f>
        <v>108.35</v>
      </c>
      <c r="AH36" s="2">
        <f>AVERAGE(All_India_Index_Upto_April23_CPI_data[[#This Row],[Clothing]:[Clothing and footwear]])</f>
        <v>112.93333333333334</v>
      </c>
      <c r="AI36" s="2">
        <v>113.3</v>
      </c>
      <c r="AJ36" s="1">
        <f>(All_India_Index_Upto_April23_CPI_data[[#This Row],[General index]]-AI33)/AI33</f>
        <v>-1.4782608695652198E-2</v>
      </c>
      <c r="AQ36" t="s">
        <v>32</v>
      </c>
      <c r="AR36">
        <v>2023</v>
      </c>
      <c r="AS36" t="s">
        <v>36</v>
      </c>
      <c r="AT36" s="2">
        <v>174.8</v>
      </c>
      <c r="AU36" s="2">
        <v>213.7</v>
      </c>
      <c r="AV36" s="2">
        <v>172.4</v>
      </c>
      <c r="AW36" s="2">
        <v>178.8</v>
      </c>
      <c r="AX36" s="2">
        <v>168.7</v>
      </c>
      <c r="AY36" s="2">
        <v>179.2</v>
      </c>
      <c r="AZ36" s="2">
        <v>179.9</v>
      </c>
      <c r="BA36" s="2">
        <v>174.7</v>
      </c>
      <c r="BB36" s="2">
        <v>123.1</v>
      </c>
      <c r="BC36" s="2">
        <v>207.8</v>
      </c>
      <c r="BD36" s="2">
        <v>165.5</v>
      </c>
      <c r="BE36" s="2">
        <v>197</v>
      </c>
      <c r="BF36" s="2">
        <v>182.1</v>
      </c>
      <c r="BG36" s="2">
        <v>178.28461538461539</v>
      </c>
      <c r="BH36" s="2">
        <f t="shared" si="1"/>
        <v>1.0999999999999943</v>
      </c>
      <c r="BI36" s="1">
        <f t="shared" si="2"/>
        <v>6.2082139446035965E-3</v>
      </c>
      <c r="BJ36" s="2"/>
      <c r="BK36" s="2"/>
      <c r="BL36" s="2"/>
      <c r="BM36" s="2"/>
      <c r="BN36" s="2"/>
      <c r="BO36" t="s">
        <v>32</v>
      </c>
      <c r="BP36">
        <v>2021</v>
      </c>
      <c r="BQ36" t="s">
        <v>44</v>
      </c>
      <c r="BR36" s="11">
        <f t="shared" si="0"/>
        <v>44531</v>
      </c>
      <c r="BS36" s="2">
        <v>151.6</v>
      </c>
      <c r="BT36" s="2">
        <v>202.2</v>
      </c>
      <c r="BU36" s="2">
        <v>180</v>
      </c>
      <c r="BV36" s="2">
        <v>160</v>
      </c>
      <c r="BW36" s="2">
        <v>173.5</v>
      </c>
      <c r="BX36" s="2">
        <v>158.30000000000001</v>
      </c>
      <c r="BY36" s="2">
        <v>219.5</v>
      </c>
      <c r="BZ36" s="2">
        <v>164.2</v>
      </c>
      <c r="CA36" s="2">
        <v>121.9</v>
      </c>
      <c r="CB36" s="2">
        <v>168.2</v>
      </c>
      <c r="CC36" s="2">
        <v>156.5</v>
      </c>
      <c r="CD36" s="2">
        <v>178.2</v>
      </c>
      <c r="CE36" s="2">
        <v>172.2</v>
      </c>
      <c r="CF36" s="2">
        <v>196.8</v>
      </c>
      <c r="CG36" s="2">
        <v>163.30000000000001</v>
      </c>
      <c r="CH36" s="2">
        <v>146.69999999999999</v>
      </c>
      <c r="CI36" s="2">
        <v>160.69999999999999</v>
      </c>
      <c r="CJ36" s="2">
        <v>163.4</v>
      </c>
      <c r="CK36" s="2">
        <v>161.69999999999999</v>
      </c>
      <c r="CL36" s="2">
        <v>156</v>
      </c>
      <c r="CM36" s="2">
        <v>165.1</v>
      </c>
      <c r="CN36" s="2">
        <v>151.80000000000001</v>
      </c>
      <c r="CO36" s="2">
        <v>157.6</v>
      </c>
      <c r="CP36" s="2">
        <v>160.6</v>
      </c>
      <c r="CQ36" s="2">
        <v>162.4</v>
      </c>
      <c r="CR36" s="2">
        <v>157.80000000000001</v>
      </c>
      <c r="CS36" s="2">
        <v>169.71538461538464</v>
      </c>
      <c r="CT36" s="2">
        <v>177.2</v>
      </c>
      <c r="CU36" s="2">
        <v>159.69999999999999</v>
      </c>
      <c r="CV36" s="2">
        <v>163.75</v>
      </c>
      <c r="CW36" s="2">
        <v>156.9</v>
      </c>
      <c r="CX36" s="2">
        <v>165.2</v>
      </c>
      <c r="CY36" s="1">
        <v>-2.4154589371981022E-3</v>
      </c>
      <c r="CZ36">
        <f>VLOOKUP(BR36,'OIL PRICE'!$A$1:$B$27,2,0)</f>
        <v>73.3</v>
      </c>
    </row>
    <row r="37" spans="1:104" x14ac:dyDescent="0.25">
      <c r="A37" t="s">
        <v>33</v>
      </c>
      <c r="B37">
        <v>2013</v>
      </c>
      <c r="C37" t="s">
        <v>44</v>
      </c>
      <c r="D37" s="2">
        <v>119.1</v>
      </c>
      <c r="E37" s="2">
        <v>116.7</v>
      </c>
      <c r="F37" s="2">
        <v>123.5</v>
      </c>
      <c r="G37" s="2">
        <v>113.4</v>
      </c>
      <c r="H37" s="2">
        <v>107.3</v>
      </c>
      <c r="I37" s="2">
        <v>113.3</v>
      </c>
      <c r="J37" s="2">
        <v>145.4</v>
      </c>
      <c r="K37" s="2">
        <v>108.7</v>
      </c>
      <c r="L37" s="2">
        <v>101.5</v>
      </c>
      <c r="M37" s="2">
        <v>110.5</v>
      </c>
      <c r="N37" s="2">
        <v>112.1</v>
      </c>
      <c r="O37" s="2">
        <v>117.4</v>
      </c>
      <c r="P37" s="2">
        <v>118.4</v>
      </c>
      <c r="Q37" s="2">
        <v>114</v>
      </c>
      <c r="R37" s="2">
        <v>115.2</v>
      </c>
      <c r="S37" s="2">
        <v>112.7</v>
      </c>
      <c r="T37" s="2">
        <v>114.8</v>
      </c>
      <c r="U37" s="2">
        <v>110.7</v>
      </c>
      <c r="V37" s="2">
        <v>111.9</v>
      </c>
      <c r="W37" s="2">
        <v>111.7</v>
      </c>
      <c r="X37" s="2">
        <v>109.7</v>
      </c>
      <c r="Y37" s="2">
        <v>109.8</v>
      </c>
      <c r="Z37" s="2">
        <v>109</v>
      </c>
      <c r="AA37" s="2">
        <v>111.5</v>
      </c>
      <c r="AB37" s="2">
        <v>107.9</v>
      </c>
      <c r="AC37" s="2">
        <v>110</v>
      </c>
      <c r="AD37" s="2">
        <f>AVERAGE(All_India_Index_Upto_April23_CPI_data[[#This Row],[Cereals and products]:[Food and beverages]])</f>
        <v>115.94615384615386</v>
      </c>
      <c r="AE37" s="2">
        <f>AVERAGE(All_India_Index_Upto_April23_CPI_data[[#This Row],[Recreation and amusement]],All_India_Index_Upto_April23_CPI_data[[#This Row],[Pan, tobacco and intoxicants]])</f>
        <v>111.5</v>
      </c>
      <c r="AF37" s="2">
        <f>AVERAGE(All_India_Index_Upto_April23_CPI_data[[#This Row],[Household goods and services]],All_India_Index_Upto_April23_CPI_data[[#This Row],[Housing]])</f>
        <v>111.2</v>
      </c>
      <c r="AG37" s="2">
        <f>AVERAGE(All_India_Index_Upto_April23_CPI_data[[#This Row],[Personal care and effects]],All_India_Index_Upto_April23_CPI_data[[#This Row],[Health]])</f>
        <v>108.80000000000001</v>
      </c>
      <c r="AH37" s="2">
        <f>AVERAGE(All_India_Index_Upto_April23_CPI_data[[#This Row],[Clothing]:[Clothing and footwear]])</f>
        <v>114.23333333333333</v>
      </c>
      <c r="AI37" s="2">
        <v>114.5</v>
      </c>
      <c r="AJ37" s="1">
        <f>(All_India_Index_Upto_April23_CPI_data[[#This Row],[General index]]-AI34)/AI34</f>
        <v>-1.5477214101461714E-2</v>
      </c>
      <c r="AQ37" t="s">
        <v>33</v>
      </c>
      <c r="AR37">
        <v>2023</v>
      </c>
      <c r="AS37" t="s">
        <v>36</v>
      </c>
      <c r="AT37" s="2">
        <v>173.8</v>
      </c>
      <c r="AU37" s="2">
        <v>209.3</v>
      </c>
      <c r="AV37" s="2">
        <v>169.6</v>
      </c>
      <c r="AW37" s="2">
        <v>178.4</v>
      </c>
      <c r="AX37" s="2">
        <v>174.9</v>
      </c>
      <c r="AY37" s="2">
        <v>176.3</v>
      </c>
      <c r="AZ37" s="2">
        <v>155.4</v>
      </c>
      <c r="BA37" s="2">
        <v>173.4</v>
      </c>
      <c r="BB37" s="2">
        <v>121.3</v>
      </c>
      <c r="BC37" s="2">
        <v>212.9</v>
      </c>
      <c r="BD37" s="2">
        <v>172.9</v>
      </c>
      <c r="BE37" s="2">
        <v>193.5</v>
      </c>
      <c r="BF37" s="2">
        <v>177.9</v>
      </c>
      <c r="BG37" s="2">
        <v>176.12307692307695</v>
      </c>
      <c r="BH37" s="2">
        <f t="shared" si="1"/>
        <v>0.80000000000003979</v>
      </c>
      <c r="BI37" s="1">
        <f t="shared" si="2"/>
        <v>4.5630045630047902E-3</v>
      </c>
      <c r="BJ37" s="2"/>
      <c r="BK37" s="2"/>
      <c r="BL37" s="2"/>
      <c r="BM37" s="2"/>
      <c r="BN37" s="2"/>
      <c r="BO37" t="s">
        <v>33</v>
      </c>
      <c r="BP37">
        <v>2021</v>
      </c>
      <c r="BQ37" t="s">
        <v>44</v>
      </c>
      <c r="BR37" s="11">
        <f t="shared" si="0"/>
        <v>44531</v>
      </c>
      <c r="BS37" s="2">
        <v>148.69999999999999</v>
      </c>
      <c r="BT37" s="2">
        <v>198.8</v>
      </c>
      <c r="BU37" s="2">
        <v>177.9</v>
      </c>
      <c r="BV37" s="2">
        <v>159.9</v>
      </c>
      <c r="BW37" s="2">
        <v>187.6</v>
      </c>
      <c r="BX37" s="2">
        <v>154.9</v>
      </c>
      <c r="BY37" s="2">
        <v>188.3</v>
      </c>
      <c r="BZ37" s="2">
        <v>164.4</v>
      </c>
      <c r="CA37" s="2">
        <v>121</v>
      </c>
      <c r="CB37" s="2">
        <v>170.5</v>
      </c>
      <c r="CC37" s="2">
        <v>164.2</v>
      </c>
      <c r="CD37" s="2">
        <v>176.5</v>
      </c>
      <c r="CE37" s="2">
        <v>168.2</v>
      </c>
      <c r="CF37" s="2">
        <v>192.4</v>
      </c>
      <c r="CG37" s="2">
        <v>168.5</v>
      </c>
      <c r="CH37" s="2">
        <v>158.69999999999999</v>
      </c>
      <c r="CI37" s="2">
        <v>167</v>
      </c>
      <c r="CJ37" s="2">
        <v>163.4</v>
      </c>
      <c r="CK37" s="2">
        <v>164.1</v>
      </c>
      <c r="CL37" s="2">
        <v>160.19999999999999</v>
      </c>
      <c r="CM37" s="2">
        <v>170.6</v>
      </c>
      <c r="CN37" s="2">
        <v>155.69999999999999</v>
      </c>
      <c r="CO37" s="2">
        <v>160.6</v>
      </c>
      <c r="CP37" s="2">
        <v>164.4</v>
      </c>
      <c r="CQ37" s="2">
        <v>162.6</v>
      </c>
      <c r="CR37" s="2">
        <v>162</v>
      </c>
      <c r="CS37" s="2">
        <v>167.76153846153846</v>
      </c>
      <c r="CT37" s="2">
        <v>176.5</v>
      </c>
      <c r="CU37" s="2">
        <v>161.80000000000001</v>
      </c>
      <c r="CV37" s="2">
        <v>166.6</v>
      </c>
      <c r="CW37" s="2">
        <v>164.73333333333332</v>
      </c>
      <c r="CX37" s="2">
        <v>166.2</v>
      </c>
      <c r="CY37" s="1">
        <v>-2.999400119976005E-3</v>
      </c>
      <c r="CZ37">
        <f>VLOOKUP(BR37,'OIL PRICE'!$A$1:$B$27,2,0)</f>
        <v>73.3</v>
      </c>
    </row>
    <row r="38" spans="1:104" x14ac:dyDescent="0.25">
      <c r="A38" t="s">
        <v>30</v>
      </c>
      <c r="B38">
        <v>2014</v>
      </c>
      <c r="C38" t="s">
        <v>31</v>
      </c>
      <c r="D38" s="2">
        <v>118.9</v>
      </c>
      <c r="E38" s="2">
        <v>117.1</v>
      </c>
      <c r="F38" s="2">
        <v>120.5</v>
      </c>
      <c r="G38" s="2">
        <v>114.4</v>
      </c>
      <c r="H38" s="2">
        <v>109</v>
      </c>
      <c r="I38" s="2">
        <v>115.5</v>
      </c>
      <c r="J38" s="2">
        <v>123.9</v>
      </c>
      <c r="K38" s="2">
        <v>109.6</v>
      </c>
      <c r="L38" s="2">
        <v>101.8</v>
      </c>
      <c r="M38" s="2">
        <v>110.2</v>
      </c>
      <c r="N38" s="2">
        <v>112.4</v>
      </c>
      <c r="O38" s="2">
        <v>117.3</v>
      </c>
      <c r="P38" s="2">
        <v>116</v>
      </c>
      <c r="Q38" s="2">
        <v>114</v>
      </c>
      <c r="R38" s="2">
        <v>116.5</v>
      </c>
      <c r="S38" s="2">
        <v>114.5</v>
      </c>
      <c r="T38" s="2">
        <v>116.2</v>
      </c>
      <c r="U38" s="2">
        <v>0</v>
      </c>
      <c r="V38" s="2">
        <v>113</v>
      </c>
      <c r="W38" s="2">
        <v>112.6</v>
      </c>
      <c r="X38" s="2">
        <v>110.6</v>
      </c>
      <c r="Y38" s="2">
        <v>110.5</v>
      </c>
      <c r="Z38" s="2">
        <v>109.6</v>
      </c>
      <c r="AA38" s="2">
        <v>111.8</v>
      </c>
      <c r="AB38" s="2">
        <v>108.3</v>
      </c>
      <c r="AC38" s="2">
        <v>110.6</v>
      </c>
      <c r="AD38" s="2">
        <f>AVERAGE(All_India_Index_Upto_April23_CPI_data[[#This Row],[Cereals and products]:[Food and beverages]])</f>
        <v>114.35384615384616</v>
      </c>
      <c r="AE38" s="2">
        <f>AVERAGE(All_India_Index_Upto_April23_CPI_data[[#This Row],[Recreation and amusement]],All_India_Index_Upto_April23_CPI_data[[#This Row],[Pan, tobacco and intoxicants]])</f>
        <v>111.8</v>
      </c>
      <c r="AF38" s="2">
        <f>AVERAGE(All_India_Index_Upto_April23_CPI_data[[#This Row],[Household goods and services]],All_India_Index_Upto_April23_CPI_data[[#This Row],[Housing]])</f>
        <v>56.3</v>
      </c>
      <c r="AG38" s="2">
        <f>AVERAGE(All_India_Index_Upto_April23_CPI_data[[#This Row],[Personal care and effects]],All_India_Index_Upto_April23_CPI_data[[#This Row],[Health]])</f>
        <v>109.44999999999999</v>
      </c>
      <c r="AH38" s="2">
        <f>AVERAGE(All_India_Index_Upto_April23_CPI_data[[#This Row],[Clothing]:[Clothing and footwear]])</f>
        <v>115.73333333333333</v>
      </c>
      <c r="AI38" s="2">
        <v>114.2</v>
      </c>
      <c r="AJ38" s="1">
        <f>(All_India_Index_Upto_April23_CPI_data[[#This Row],[General index]]-AI35)/AI35</f>
        <v>-1.125541125541123E-2</v>
      </c>
      <c r="AQ38" t="s">
        <v>30</v>
      </c>
      <c r="AR38">
        <v>2023</v>
      </c>
      <c r="AS38" t="s">
        <v>37</v>
      </c>
      <c r="AT38" s="2">
        <v>173.2</v>
      </c>
      <c r="AU38" s="2">
        <v>211.5</v>
      </c>
      <c r="AV38" s="2">
        <v>171</v>
      </c>
      <c r="AW38" s="2">
        <v>179.6</v>
      </c>
      <c r="AX38" s="2">
        <v>173.3</v>
      </c>
      <c r="AY38" s="2">
        <v>169</v>
      </c>
      <c r="AZ38" s="2">
        <v>148.69999999999999</v>
      </c>
      <c r="BA38" s="2">
        <v>174.9</v>
      </c>
      <c r="BB38" s="2">
        <v>121.9</v>
      </c>
      <c r="BC38" s="2">
        <v>221</v>
      </c>
      <c r="BD38" s="2">
        <v>178.7</v>
      </c>
      <c r="BE38" s="2">
        <v>191.1</v>
      </c>
      <c r="BF38" s="2">
        <v>176.8</v>
      </c>
      <c r="BG38" s="2">
        <v>176.20769230769235</v>
      </c>
      <c r="BH38" s="2">
        <f t="shared" si="1"/>
        <v>1.2692307692308304</v>
      </c>
      <c r="BI38" s="1">
        <f t="shared" si="2"/>
        <v>7.2552985665292396E-3</v>
      </c>
      <c r="BJ38" s="2"/>
      <c r="BK38" s="2"/>
      <c r="BL38" s="2"/>
      <c r="BM38" s="2"/>
      <c r="BN38" s="2"/>
      <c r="BO38" t="s">
        <v>30</v>
      </c>
      <c r="BP38">
        <v>2022</v>
      </c>
      <c r="BQ38" t="s">
        <v>31</v>
      </c>
      <c r="BR38" s="11">
        <f t="shared" si="0"/>
        <v>44562</v>
      </c>
      <c r="BS38" s="2">
        <v>148.30000000000001</v>
      </c>
      <c r="BT38" s="2">
        <v>196.9</v>
      </c>
      <c r="BU38" s="2">
        <v>178</v>
      </c>
      <c r="BV38" s="2">
        <v>160.5</v>
      </c>
      <c r="BW38" s="2">
        <v>192.6</v>
      </c>
      <c r="BX38" s="2">
        <v>151.19999999999999</v>
      </c>
      <c r="BY38" s="2">
        <v>159.19999999999999</v>
      </c>
      <c r="BZ38" s="2">
        <v>164</v>
      </c>
      <c r="CA38" s="2">
        <v>119.3</v>
      </c>
      <c r="CB38" s="2">
        <v>173.3</v>
      </c>
      <c r="CC38" s="2">
        <v>169.8</v>
      </c>
      <c r="CD38" s="2">
        <v>175.8</v>
      </c>
      <c r="CE38" s="2">
        <v>164.1</v>
      </c>
      <c r="CF38" s="2">
        <v>190.7</v>
      </c>
      <c r="CG38" s="2">
        <v>173.2</v>
      </c>
      <c r="CH38" s="2">
        <v>169.3</v>
      </c>
      <c r="CI38" s="2">
        <v>172.7</v>
      </c>
      <c r="CJ38" s="2">
        <v>0</v>
      </c>
      <c r="CK38" s="2">
        <v>165.8</v>
      </c>
      <c r="CL38" s="2">
        <v>164.9</v>
      </c>
      <c r="CM38" s="2">
        <v>174.7</v>
      </c>
      <c r="CN38" s="2">
        <v>160.80000000000001</v>
      </c>
      <c r="CO38" s="2">
        <v>164.9</v>
      </c>
      <c r="CP38" s="2">
        <v>169.9</v>
      </c>
      <c r="CQ38" s="2">
        <v>163.19999999999999</v>
      </c>
      <c r="CR38" s="2">
        <v>166.6</v>
      </c>
      <c r="CS38" s="2">
        <v>165.61538461538461</v>
      </c>
      <c r="CT38" s="2">
        <v>177.8</v>
      </c>
      <c r="CU38" s="2">
        <v>82.45</v>
      </c>
      <c r="CV38" s="2">
        <v>168.95</v>
      </c>
      <c r="CW38" s="2">
        <v>171.73333333333335</v>
      </c>
      <c r="CX38" s="2">
        <v>166.4</v>
      </c>
      <c r="CY38" s="1">
        <v>-3.5928143712574512E-3</v>
      </c>
      <c r="CZ38">
        <f>VLOOKUP(BR38,'OIL PRICE'!$A$1:$B$27,2,0)</f>
        <v>84.67</v>
      </c>
    </row>
    <row r="39" spans="1:104" x14ac:dyDescent="0.25">
      <c r="A39" t="s">
        <v>32</v>
      </c>
      <c r="B39">
        <v>2014</v>
      </c>
      <c r="C39" t="s">
        <v>31</v>
      </c>
      <c r="D39" s="2">
        <v>121.2</v>
      </c>
      <c r="E39" s="2">
        <v>122</v>
      </c>
      <c r="F39" s="2">
        <v>129.9</v>
      </c>
      <c r="G39" s="2">
        <v>113.6</v>
      </c>
      <c r="H39" s="2">
        <v>102.9</v>
      </c>
      <c r="I39" s="2">
        <v>112.1</v>
      </c>
      <c r="J39" s="2">
        <v>118.9</v>
      </c>
      <c r="K39" s="2">
        <v>107.5</v>
      </c>
      <c r="L39" s="2">
        <v>96.9</v>
      </c>
      <c r="M39" s="2">
        <v>112.7</v>
      </c>
      <c r="N39" s="2">
        <v>112.1</v>
      </c>
      <c r="O39" s="2">
        <v>119</v>
      </c>
      <c r="P39" s="2">
        <v>115.5</v>
      </c>
      <c r="Q39" s="2">
        <v>115.7</v>
      </c>
      <c r="R39" s="2">
        <v>114.8</v>
      </c>
      <c r="S39" s="2">
        <v>111.3</v>
      </c>
      <c r="T39" s="2">
        <v>114.3</v>
      </c>
      <c r="U39" s="2">
        <v>111.6</v>
      </c>
      <c r="V39" s="2">
        <v>111</v>
      </c>
      <c r="W39" s="2">
        <v>111.9</v>
      </c>
      <c r="X39" s="2">
        <v>109.7</v>
      </c>
      <c r="Y39" s="2">
        <v>110.8</v>
      </c>
      <c r="Z39" s="2">
        <v>109.8</v>
      </c>
      <c r="AA39" s="2">
        <v>111.5</v>
      </c>
      <c r="AB39" s="2">
        <v>108</v>
      </c>
      <c r="AC39" s="2">
        <v>110.5</v>
      </c>
      <c r="AD39" s="2">
        <f>AVERAGE(All_India_Index_Upto_April23_CPI_data[[#This Row],[Cereals and products]:[Food and beverages]])</f>
        <v>114.17692307692307</v>
      </c>
      <c r="AE39" s="2">
        <f>AVERAGE(All_India_Index_Upto_April23_CPI_data[[#This Row],[Recreation and amusement]],All_India_Index_Upto_April23_CPI_data[[#This Row],[Pan, tobacco and intoxicants]])</f>
        <v>112.75</v>
      </c>
      <c r="AF39" s="2">
        <f>AVERAGE(All_India_Index_Upto_April23_CPI_data[[#This Row],[Household goods and services]],All_India_Index_Upto_April23_CPI_data[[#This Row],[Housing]])</f>
        <v>111.75</v>
      </c>
      <c r="AG39" s="2">
        <f>AVERAGE(All_India_Index_Upto_April23_CPI_data[[#This Row],[Personal care and effects]],All_India_Index_Upto_April23_CPI_data[[#This Row],[Health]])</f>
        <v>108.85</v>
      </c>
      <c r="AH39" s="2">
        <f>AVERAGE(All_India_Index_Upto_April23_CPI_data[[#This Row],[Clothing]:[Clothing and footwear]])</f>
        <v>113.46666666666665</v>
      </c>
      <c r="AI39" s="2">
        <v>112.9</v>
      </c>
      <c r="AJ39" s="1">
        <f>(All_India_Index_Upto_April23_CPI_data[[#This Row],[General index]]-AI36)/AI36</f>
        <v>-3.5304501323918046E-3</v>
      </c>
      <c r="AQ39" t="s">
        <v>32</v>
      </c>
      <c r="AR39">
        <v>2023</v>
      </c>
      <c r="AS39" t="s">
        <v>37</v>
      </c>
      <c r="AT39" s="2">
        <v>174.7</v>
      </c>
      <c r="AU39" s="2">
        <v>219.4</v>
      </c>
      <c r="AV39" s="2">
        <v>176.7</v>
      </c>
      <c r="AW39" s="2">
        <v>179.4</v>
      </c>
      <c r="AX39" s="2">
        <v>164.4</v>
      </c>
      <c r="AY39" s="2">
        <v>175.8</v>
      </c>
      <c r="AZ39" s="2">
        <v>185</v>
      </c>
      <c r="BA39" s="2">
        <v>176.9</v>
      </c>
      <c r="BB39" s="2">
        <v>124.2</v>
      </c>
      <c r="BC39" s="2">
        <v>211.9</v>
      </c>
      <c r="BD39" s="2">
        <v>165.9</v>
      </c>
      <c r="BE39" s="2">
        <v>197.7</v>
      </c>
      <c r="BF39" s="2">
        <v>183.1</v>
      </c>
      <c r="BG39" s="2">
        <v>179.62307692307692</v>
      </c>
      <c r="BH39" s="2">
        <f t="shared" si="1"/>
        <v>1.3384615384615302</v>
      </c>
      <c r="BI39" s="1">
        <f t="shared" si="2"/>
        <v>7.5074427233895206E-3</v>
      </c>
      <c r="BJ39" s="2"/>
      <c r="BK39" s="2"/>
      <c r="BL39" s="2"/>
      <c r="BM39" s="2"/>
      <c r="BN39" s="2"/>
      <c r="BO39" t="s">
        <v>32</v>
      </c>
      <c r="BP39">
        <v>2022</v>
      </c>
      <c r="BQ39" t="s">
        <v>31</v>
      </c>
      <c r="BR39" s="11">
        <f t="shared" si="0"/>
        <v>44562</v>
      </c>
      <c r="BS39" s="2">
        <v>152.19999999999999</v>
      </c>
      <c r="BT39" s="2">
        <v>202.1</v>
      </c>
      <c r="BU39" s="2">
        <v>180.1</v>
      </c>
      <c r="BV39" s="2">
        <v>160.4</v>
      </c>
      <c r="BW39" s="2">
        <v>171</v>
      </c>
      <c r="BX39" s="2">
        <v>156.5</v>
      </c>
      <c r="BY39" s="2">
        <v>203.6</v>
      </c>
      <c r="BZ39" s="2">
        <v>163.80000000000001</v>
      </c>
      <c r="CA39" s="2">
        <v>121.3</v>
      </c>
      <c r="CB39" s="2">
        <v>169.8</v>
      </c>
      <c r="CC39" s="2">
        <v>156.6</v>
      </c>
      <c r="CD39" s="2">
        <v>179</v>
      </c>
      <c r="CE39" s="2">
        <v>170.3</v>
      </c>
      <c r="CF39" s="2">
        <v>196.4</v>
      </c>
      <c r="CG39" s="2">
        <v>164.7</v>
      </c>
      <c r="CH39" s="2">
        <v>148.5</v>
      </c>
      <c r="CI39" s="2">
        <v>162.19999999999999</v>
      </c>
      <c r="CJ39" s="2">
        <v>164.5</v>
      </c>
      <c r="CK39" s="2">
        <v>161.6</v>
      </c>
      <c r="CL39" s="2">
        <v>156.80000000000001</v>
      </c>
      <c r="CM39" s="2">
        <v>166.1</v>
      </c>
      <c r="CN39" s="2">
        <v>152.69999999999999</v>
      </c>
      <c r="CO39" s="2">
        <v>158.4</v>
      </c>
      <c r="CP39" s="2">
        <v>161</v>
      </c>
      <c r="CQ39" s="2">
        <v>162.80000000000001</v>
      </c>
      <c r="CR39" s="2">
        <v>158.6</v>
      </c>
      <c r="CS39" s="2">
        <v>168.2076923076923</v>
      </c>
      <c r="CT39" s="2">
        <v>177.4</v>
      </c>
      <c r="CU39" s="2">
        <v>160.65</v>
      </c>
      <c r="CV39" s="2">
        <v>164.45</v>
      </c>
      <c r="CW39" s="2">
        <v>158.46666666666667</v>
      </c>
      <c r="CX39" s="2">
        <v>165</v>
      </c>
      <c r="CY39" s="1">
        <v>-1.2106537530265657E-3</v>
      </c>
      <c r="CZ39">
        <f>VLOOKUP(BR39,'OIL PRICE'!$A$1:$B$27,2,0)</f>
        <v>84.67</v>
      </c>
    </row>
    <row r="40" spans="1:104" x14ac:dyDescent="0.25">
      <c r="A40" t="s">
        <v>33</v>
      </c>
      <c r="B40">
        <v>2014</v>
      </c>
      <c r="C40" t="s">
        <v>31</v>
      </c>
      <c r="D40" s="2">
        <v>119.6</v>
      </c>
      <c r="E40" s="2">
        <v>118.8</v>
      </c>
      <c r="F40" s="2">
        <v>124.1</v>
      </c>
      <c r="G40" s="2">
        <v>114.1</v>
      </c>
      <c r="H40" s="2">
        <v>106.8</v>
      </c>
      <c r="I40" s="2">
        <v>113.9</v>
      </c>
      <c r="J40" s="2">
        <v>122.2</v>
      </c>
      <c r="K40" s="2">
        <v>108.9</v>
      </c>
      <c r="L40" s="2">
        <v>100.2</v>
      </c>
      <c r="M40" s="2">
        <v>111</v>
      </c>
      <c r="N40" s="2">
        <v>112.3</v>
      </c>
      <c r="O40" s="2">
        <v>118.1</v>
      </c>
      <c r="P40" s="2">
        <v>115.8</v>
      </c>
      <c r="Q40" s="2">
        <v>114.5</v>
      </c>
      <c r="R40" s="2">
        <v>115.8</v>
      </c>
      <c r="S40" s="2">
        <v>113.2</v>
      </c>
      <c r="T40" s="2">
        <v>115.4</v>
      </c>
      <c r="U40" s="2">
        <v>111.6</v>
      </c>
      <c r="V40" s="2">
        <v>112.2</v>
      </c>
      <c r="W40" s="2">
        <v>112.3</v>
      </c>
      <c r="X40" s="2">
        <v>110.3</v>
      </c>
      <c r="Y40" s="2">
        <v>110.7</v>
      </c>
      <c r="Z40" s="2">
        <v>109.7</v>
      </c>
      <c r="AA40" s="2">
        <v>111.6</v>
      </c>
      <c r="AB40" s="2">
        <v>108.2</v>
      </c>
      <c r="AC40" s="2">
        <v>110.6</v>
      </c>
      <c r="AD40" s="2">
        <f>AVERAGE(All_India_Index_Upto_April23_CPI_data[[#This Row],[Cereals and products]:[Food and beverages]])</f>
        <v>114.29230769230767</v>
      </c>
      <c r="AE40" s="2">
        <f>AVERAGE(All_India_Index_Upto_April23_CPI_data[[#This Row],[Recreation and amusement]],All_India_Index_Upto_April23_CPI_data[[#This Row],[Pan, tobacco and intoxicants]])</f>
        <v>112.1</v>
      </c>
      <c r="AF40" s="2">
        <f>AVERAGE(All_India_Index_Upto_April23_CPI_data[[#This Row],[Household goods and services]],All_India_Index_Upto_April23_CPI_data[[#This Row],[Housing]])</f>
        <v>111.94999999999999</v>
      </c>
      <c r="AG40" s="2">
        <f>AVERAGE(All_India_Index_Upto_April23_CPI_data[[#This Row],[Personal care and effects]],All_India_Index_Upto_April23_CPI_data[[#This Row],[Health]])</f>
        <v>109.25</v>
      </c>
      <c r="AH40" s="2">
        <f>AVERAGE(All_India_Index_Upto_April23_CPI_data[[#This Row],[Clothing]:[Clothing and footwear]])</f>
        <v>114.8</v>
      </c>
      <c r="AI40" s="2">
        <v>113.6</v>
      </c>
      <c r="AJ40" s="1">
        <f>(All_India_Index_Upto_April23_CPI_data[[#This Row],[General index]]-AI37)/AI37</f>
        <v>-7.8602620087336733E-3</v>
      </c>
      <c r="AQ40" t="s">
        <v>33</v>
      </c>
      <c r="AR40">
        <v>2023</v>
      </c>
      <c r="AS40" t="s">
        <v>37</v>
      </c>
      <c r="AT40" s="2">
        <v>173.7</v>
      </c>
      <c r="AU40" s="2">
        <v>214.3</v>
      </c>
      <c r="AV40" s="2">
        <v>173.2</v>
      </c>
      <c r="AW40" s="2">
        <v>179.5</v>
      </c>
      <c r="AX40" s="2">
        <v>170</v>
      </c>
      <c r="AY40" s="2">
        <v>172.2</v>
      </c>
      <c r="AZ40" s="2">
        <v>161</v>
      </c>
      <c r="BA40" s="2">
        <v>175.6</v>
      </c>
      <c r="BB40" s="2">
        <v>122.7</v>
      </c>
      <c r="BC40" s="2">
        <v>218</v>
      </c>
      <c r="BD40" s="2">
        <v>173.4</v>
      </c>
      <c r="BE40" s="2">
        <v>194.2</v>
      </c>
      <c r="BF40" s="2">
        <v>179.1</v>
      </c>
      <c r="BG40" s="2">
        <v>177.45384615384617</v>
      </c>
      <c r="BH40" s="2">
        <f t="shared" si="1"/>
        <v>1.3307692307692207</v>
      </c>
      <c r="BI40" s="1">
        <f t="shared" si="2"/>
        <v>7.555904961565281E-3</v>
      </c>
      <c r="BJ40" s="2"/>
      <c r="BK40" s="2"/>
      <c r="BL40" s="2"/>
      <c r="BM40" s="2"/>
      <c r="BN40" s="2"/>
      <c r="BO40" t="s">
        <v>33</v>
      </c>
      <c r="BP40">
        <v>2022</v>
      </c>
      <c r="BQ40" t="s">
        <v>31</v>
      </c>
      <c r="BR40" s="11">
        <f t="shared" si="0"/>
        <v>44562</v>
      </c>
      <c r="BS40" s="2">
        <v>149.5</v>
      </c>
      <c r="BT40" s="2">
        <v>198.7</v>
      </c>
      <c r="BU40" s="2">
        <v>178.8</v>
      </c>
      <c r="BV40" s="2">
        <v>160.5</v>
      </c>
      <c r="BW40" s="2">
        <v>184.7</v>
      </c>
      <c r="BX40" s="2">
        <v>153.69999999999999</v>
      </c>
      <c r="BY40" s="2">
        <v>174.3</v>
      </c>
      <c r="BZ40" s="2">
        <v>163.9</v>
      </c>
      <c r="CA40" s="2">
        <v>120</v>
      </c>
      <c r="CB40" s="2">
        <v>172.1</v>
      </c>
      <c r="CC40" s="2">
        <v>164.3</v>
      </c>
      <c r="CD40" s="2">
        <v>177.3</v>
      </c>
      <c r="CE40" s="2">
        <v>166.4</v>
      </c>
      <c r="CF40" s="2">
        <v>192.2</v>
      </c>
      <c r="CG40" s="2">
        <v>169.9</v>
      </c>
      <c r="CH40" s="2">
        <v>160.69999999999999</v>
      </c>
      <c r="CI40" s="2">
        <v>168.5</v>
      </c>
      <c r="CJ40" s="2">
        <v>164.5</v>
      </c>
      <c r="CK40" s="2">
        <v>164.2</v>
      </c>
      <c r="CL40" s="2">
        <v>161.1</v>
      </c>
      <c r="CM40" s="2">
        <v>171.4</v>
      </c>
      <c r="CN40" s="2">
        <v>156.5</v>
      </c>
      <c r="CO40" s="2">
        <v>161.19999999999999</v>
      </c>
      <c r="CP40" s="2">
        <v>164.7</v>
      </c>
      <c r="CQ40" s="2">
        <v>163</v>
      </c>
      <c r="CR40" s="2">
        <v>162.69999999999999</v>
      </c>
      <c r="CS40" s="2">
        <v>166.47692307692307</v>
      </c>
      <c r="CT40" s="2">
        <v>176.7</v>
      </c>
      <c r="CU40" s="2">
        <v>162.80000000000001</v>
      </c>
      <c r="CV40" s="2">
        <v>167.2</v>
      </c>
      <c r="CW40" s="2">
        <v>166.36666666666667</v>
      </c>
      <c r="CX40" s="2">
        <v>165.7</v>
      </c>
      <c r="CY40" s="1">
        <v>-3.0084235860409147E-3</v>
      </c>
      <c r="CZ40">
        <f>VLOOKUP(BR40,'OIL PRICE'!$A$1:$B$27,2,0)</f>
        <v>84.67</v>
      </c>
    </row>
    <row r="41" spans="1:104" x14ac:dyDescent="0.25">
      <c r="A41" t="s">
        <v>30</v>
      </c>
      <c r="B41">
        <v>2014</v>
      </c>
      <c r="C41" t="s">
        <v>34</v>
      </c>
      <c r="D41" s="2">
        <v>119.4</v>
      </c>
      <c r="E41" s="2">
        <v>117.7</v>
      </c>
      <c r="F41" s="2">
        <v>121.2</v>
      </c>
      <c r="G41" s="2">
        <v>115</v>
      </c>
      <c r="H41" s="2">
        <v>109</v>
      </c>
      <c r="I41" s="2">
        <v>116.6</v>
      </c>
      <c r="J41" s="2">
        <v>116</v>
      </c>
      <c r="K41" s="2">
        <v>109.8</v>
      </c>
      <c r="L41" s="2">
        <v>101.1</v>
      </c>
      <c r="M41" s="2">
        <v>110.4</v>
      </c>
      <c r="N41" s="2">
        <v>112.9</v>
      </c>
      <c r="O41" s="2">
        <v>117.8</v>
      </c>
      <c r="P41" s="2">
        <v>115.3</v>
      </c>
      <c r="Q41" s="2">
        <v>114.2</v>
      </c>
      <c r="R41" s="2">
        <v>117.1</v>
      </c>
      <c r="S41" s="2">
        <v>114.5</v>
      </c>
      <c r="T41" s="2">
        <v>116.7</v>
      </c>
      <c r="U41" s="2">
        <v>0</v>
      </c>
      <c r="V41" s="2">
        <v>113.2</v>
      </c>
      <c r="W41" s="2">
        <v>112.9</v>
      </c>
      <c r="X41" s="2">
        <v>110.9</v>
      </c>
      <c r="Y41" s="2">
        <v>110.8</v>
      </c>
      <c r="Z41" s="2">
        <v>109.9</v>
      </c>
      <c r="AA41" s="2">
        <v>112</v>
      </c>
      <c r="AB41" s="2">
        <v>108.7</v>
      </c>
      <c r="AC41" s="2">
        <v>110.9</v>
      </c>
      <c r="AD41" s="2">
        <f>AVERAGE(All_India_Index_Upto_April23_CPI_data[[#This Row],[Cereals and products]:[Food and beverages]])</f>
        <v>114.01538461538462</v>
      </c>
      <c r="AE41" s="2">
        <f>AVERAGE(All_India_Index_Upto_April23_CPI_data[[#This Row],[Recreation and amusement]],All_India_Index_Upto_April23_CPI_data[[#This Row],[Pan, tobacco and intoxicants]])</f>
        <v>112.05000000000001</v>
      </c>
      <c r="AF41" s="2">
        <f>AVERAGE(All_India_Index_Upto_April23_CPI_data[[#This Row],[Household goods and services]],All_India_Index_Upto_April23_CPI_data[[#This Row],[Housing]])</f>
        <v>56.45</v>
      </c>
      <c r="AG41" s="2">
        <f>AVERAGE(All_India_Index_Upto_April23_CPI_data[[#This Row],[Personal care and effects]],All_India_Index_Upto_April23_CPI_data[[#This Row],[Health]])</f>
        <v>109.80000000000001</v>
      </c>
      <c r="AH41" s="2">
        <f>AVERAGE(All_India_Index_Upto_April23_CPI_data[[#This Row],[Clothing]:[Clothing and footwear]])</f>
        <v>116.10000000000001</v>
      </c>
      <c r="AI41" s="2">
        <v>114</v>
      </c>
      <c r="AJ41" s="1">
        <f>(All_India_Index_Upto_April23_CPI_data[[#This Row],[General index]]-AI38)/AI38</f>
        <v>-1.7513134851138603E-3</v>
      </c>
      <c r="BH41" s="2"/>
      <c r="BI41" s="2"/>
      <c r="BJ41" s="2"/>
      <c r="BK41" s="2"/>
      <c r="BL41" s="2"/>
      <c r="BM41" s="2"/>
      <c r="BN41" s="2"/>
      <c r="BO41" t="s">
        <v>30</v>
      </c>
      <c r="BP41">
        <v>2022</v>
      </c>
      <c r="BQ41" t="s">
        <v>34</v>
      </c>
      <c r="BR41" s="11">
        <f t="shared" si="0"/>
        <v>44593</v>
      </c>
      <c r="BS41" s="2">
        <v>148.80000000000001</v>
      </c>
      <c r="BT41" s="2">
        <v>198.1</v>
      </c>
      <c r="BU41" s="2">
        <v>175.5</v>
      </c>
      <c r="BV41" s="2">
        <v>160.69999999999999</v>
      </c>
      <c r="BW41" s="2">
        <v>192.6</v>
      </c>
      <c r="BX41" s="2">
        <v>151.4</v>
      </c>
      <c r="BY41" s="2">
        <v>155.19999999999999</v>
      </c>
      <c r="BZ41" s="2">
        <v>163.9</v>
      </c>
      <c r="CA41" s="2">
        <v>118.1</v>
      </c>
      <c r="CB41" s="2">
        <v>175.4</v>
      </c>
      <c r="CC41" s="2">
        <v>170.5</v>
      </c>
      <c r="CD41" s="2">
        <v>176.3</v>
      </c>
      <c r="CE41" s="2">
        <v>163.9</v>
      </c>
      <c r="CF41" s="2">
        <v>191.5</v>
      </c>
      <c r="CG41" s="2">
        <v>174.1</v>
      </c>
      <c r="CH41" s="2">
        <v>171</v>
      </c>
      <c r="CI41" s="2">
        <v>173.7</v>
      </c>
      <c r="CJ41" s="2">
        <v>0</v>
      </c>
      <c r="CK41" s="2">
        <v>167.4</v>
      </c>
      <c r="CL41" s="2">
        <v>165.7</v>
      </c>
      <c r="CM41" s="2">
        <v>175.3</v>
      </c>
      <c r="CN41" s="2">
        <v>161.19999999999999</v>
      </c>
      <c r="CO41" s="2">
        <v>165.5</v>
      </c>
      <c r="CP41" s="2">
        <v>170.3</v>
      </c>
      <c r="CQ41" s="2">
        <v>164.5</v>
      </c>
      <c r="CR41" s="2">
        <v>167.3</v>
      </c>
      <c r="CS41" s="2">
        <v>165.41538461538462</v>
      </c>
      <c r="CT41" s="2">
        <v>178.5</v>
      </c>
      <c r="CU41" s="2">
        <v>82.85</v>
      </c>
      <c r="CV41" s="2">
        <v>169.9</v>
      </c>
      <c r="CW41" s="2">
        <v>172.93333333333331</v>
      </c>
      <c r="CX41" s="2">
        <v>166.7</v>
      </c>
      <c r="CY41" s="1">
        <v>1.8028846153845129E-3</v>
      </c>
      <c r="CZ41">
        <f>VLOOKUP(BR41,'OIL PRICE'!$A$1:$B$27,2,0)</f>
        <v>94.07</v>
      </c>
    </row>
    <row r="42" spans="1:104" x14ac:dyDescent="0.25">
      <c r="A42" t="s">
        <v>32</v>
      </c>
      <c r="B42">
        <v>2014</v>
      </c>
      <c r="C42" t="s">
        <v>34</v>
      </c>
      <c r="D42" s="2">
        <v>121.9</v>
      </c>
      <c r="E42" s="2">
        <v>122</v>
      </c>
      <c r="F42" s="2">
        <v>124.5</v>
      </c>
      <c r="G42" s="2">
        <v>115.2</v>
      </c>
      <c r="H42" s="2">
        <v>102.5</v>
      </c>
      <c r="I42" s="2">
        <v>114.1</v>
      </c>
      <c r="J42" s="2">
        <v>111.5</v>
      </c>
      <c r="K42" s="2">
        <v>108.2</v>
      </c>
      <c r="L42" s="2">
        <v>95.4</v>
      </c>
      <c r="M42" s="2">
        <v>113.5</v>
      </c>
      <c r="N42" s="2">
        <v>112.1</v>
      </c>
      <c r="O42" s="2">
        <v>119.9</v>
      </c>
      <c r="P42" s="2">
        <v>115.2</v>
      </c>
      <c r="Q42" s="2">
        <v>116.2</v>
      </c>
      <c r="R42" s="2">
        <v>115.3</v>
      </c>
      <c r="S42" s="2">
        <v>111.7</v>
      </c>
      <c r="T42" s="2">
        <v>114.7</v>
      </c>
      <c r="U42" s="2">
        <v>112.5</v>
      </c>
      <c r="V42" s="2">
        <v>111.1</v>
      </c>
      <c r="W42" s="2">
        <v>112.6</v>
      </c>
      <c r="X42" s="2">
        <v>110.4</v>
      </c>
      <c r="Y42" s="2">
        <v>111.3</v>
      </c>
      <c r="Z42" s="2">
        <v>110.3</v>
      </c>
      <c r="AA42" s="2">
        <v>111.6</v>
      </c>
      <c r="AB42" s="2">
        <v>108.7</v>
      </c>
      <c r="AC42" s="2">
        <v>111</v>
      </c>
      <c r="AD42" s="2">
        <f>AVERAGE(All_India_Index_Upto_April23_CPI_data[[#This Row],[Cereals and products]:[Food and beverages]])</f>
        <v>113.53846153846153</v>
      </c>
      <c r="AE42" s="2">
        <f>AVERAGE(All_India_Index_Upto_April23_CPI_data[[#This Row],[Recreation and amusement]],All_India_Index_Upto_April23_CPI_data[[#This Row],[Pan, tobacco and intoxicants]])</f>
        <v>113.25</v>
      </c>
      <c r="AF42" s="2">
        <f>AVERAGE(All_India_Index_Upto_April23_CPI_data[[#This Row],[Household goods and services]],All_India_Index_Upto_April23_CPI_data[[#This Row],[Housing]])</f>
        <v>112.55</v>
      </c>
      <c r="AG42" s="2">
        <f>AVERAGE(All_India_Index_Upto_April23_CPI_data[[#This Row],[Personal care and effects]],All_India_Index_Upto_April23_CPI_data[[#This Row],[Health]])</f>
        <v>109.55000000000001</v>
      </c>
      <c r="AH42" s="2">
        <f>AVERAGE(All_India_Index_Upto_April23_CPI_data[[#This Row],[Clothing]:[Clothing and footwear]])</f>
        <v>113.89999999999999</v>
      </c>
      <c r="AI42" s="2">
        <v>113.1</v>
      </c>
      <c r="AJ42" s="1">
        <f>(All_India_Index_Upto_April23_CPI_data[[#This Row],[General index]]-AI39)/AI39</f>
        <v>1.7714791851194741E-3</v>
      </c>
      <c r="BH42" s="2"/>
      <c r="BI42" s="2"/>
      <c r="BJ42" s="2"/>
      <c r="BK42" s="2"/>
      <c r="BL42" s="2"/>
      <c r="BM42" s="2"/>
      <c r="BN42" s="2"/>
      <c r="BO42" t="s">
        <v>32</v>
      </c>
      <c r="BP42">
        <v>2022</v>
      </c>
      <c r="BQ42" t="s">
        <v>34</v>
      </c>
      <c r="BR42" s="11">
        <f t="shared" si="0"/>
        <v>44593</v>
      </c>
      <c r="BS42" s="2">
        <v>152.5</v>
      </c>
      <c r="BT42" s="2">
        <v>205.2</v>
      </c>
      <c r="BU42" s="2">
        <v>176.4</v>
      </c>
      <c r="BV42" s="2">
        <v>160.6</v>
      </c>
      <c r="BW42" s="2">
        <v>171.5</v>
      </c>
      <c r="BX42" s="2">
        <v>156.4</v>
      </c>
      <c r="BY42" s="2">
        <v>198</v>
      </c>
      <c r="BZ42" s="2">
        <v>163.19999999999999</v>
      </c>
      <c r="CA42" s="2">
        <v>120.6</v>
      </c>
      <c r="CB42" s="2">
        <v>172.2</v>
      </c>
      <c r="CC42" s="2">
        <v>156.69999999999999</v>
      </c>
      <c r="CD42" s="2">
        <v>180</v>
      </c>
      <c r="CE42" s="2">
        <v>170.2</v>
      </c>
      <c r="CF42" s="2">
        <v>196.5</v>
      </c>
      <c r="CG42" s="2">
        <v>165.7</v>
      </c>
      <c r="CH42" s="2">
        <v>150.4</v>
      </c>
      <c r="CI42" s="2">
        <v>163.4</v>
      </c>
      <c r="CJ42" s="2">
        <v>165.5</v>
      </c>
      <c r="CK42" s="2">
        <v>163</v>
      </c>
      <c r="CL42" s="2">
        <v>157.4</v>
      </c>
      <c r="CM42" s="2">
        <v>167.2</v>
      </c>
      <c r="CN42" s="2">
        <v>153.1</v>
      </c>
      <c r="CO42" s="2">
        <v>159.5</v>
      </c>
      <c r="CP42" s="2">
        <v>162</v>
      </c>
      <c r="CQ42" s="2">
        <v>164.2</v>
      </c>
      <c r="CR42" s="2">
        <v>159.4</v>
      </c>
      <c r="CS42" s="2">
        <v>167.96153846153845</v>
      </c>
      <c r="CT42" s="2">
        <v>178</v>
      </c>
      <c r="CU42" s="2">
        <v>161.44999999999999</v>
      </c>
      <c r="CV42" s="2">
        <v>165.7</v>
      </c>
      <c r="CW42" s="2">
        <v>159.83333333333334</v>
      </c>
      <c r="CX42" s="2">
        <v>165.5</v>
      </c>
      <c r="CY42" s="1">
        <v>3.0303030303030303E-3</v>
      </c>
      <c r="CZ42">
        <f>VLOOKUP(BR42,'OIL PRICE'!$A$1:$B$27,2,0)</f>
        <v>94.07</v>
      </c>
    </row>
    <row r="43" spans="1:104" x14ac:dyDescent="0.25">
      <c r="A43" t="s">
        <v>33</v>
      </c>
      <c r="B43">
        <v>2014</v>
      </c>
      <c r="C43" t="s">
        <v>34</v>
      </c>
      <c r="D43" s="2">
        <v>120.2</v>
      </c>
      <c r="E43" s="2">
        <v>119.2</v>
      </c>
      <c r="F43" s="2">
        <v>122.5</v>
      </c>
      <c r="G43" s="2">
        <v>115.1</v>
      </c>
      <c r="H43" s="2">
        <v>106.6</v>
      </c>
      <c r="I43" s="2">
        <v>115.4</v>
      </c>
      <c r="J43" s="2">
        <v>114.5</v>
      </c>
      <c r="K43" s="2">
        <v>109.3</v>
      </c>
      <c r="L43" s="2">
        <v>99.2</v>
      </c>
      <c r="M43" s="2">
        <v>111.4</v>
      </c>
      <c r="N43" s="2">
        <v>112.6</v>
      </c>
      <c r="O43" s="2">
        <v>118.8</v>
      </c>
      <c r="P43" s="2">
        <v>115.3</v>
      </c>
      <c r="Q43" s="2">
        <v>114.7</v>
      </c>
      <c r="R43" s="2">
        <v>116.4</v>
      </c>
      <c r="S43" s="2">
        <v>113.3</v>
      </c>
      <c r="T43" s="2">
        <v>115.9</v>
      </c>
      <c r="U43" s="2">
        <v>112.5</v>
      </c>
      <c r="V43" s="2">
        <v>112.4</v>
      </c>
      <c r="W43" s="2">
        <v>112.8</v>
      </c>
      <c r="X43" s="2">
        <v>110.7</v>
      </c>
      <c r="Y43" s="2">
        <v>111.1</v>
      </c>
      <c r="Z43" s="2">
        <v>110.1</v>
      </c>
      <c r="AA43" s="2">
        <v>111.8</v>
      </c>
      <c r="AB43" s="2">
        <v>108.7</v>
      </c>
      <c r="AC43" s="2">
        <v>110.9</v>
      </c>
      <c r="AD43" s="2">
        <f>AVERAGE(All_India_Index_Upto_April23_CPI_data[[#This Row],[Cereals and products]:[Food and beverages]])</f>
        <v>113.85384615384615</v>
      </c>
      <c r="AE43" s="2">
        <f>AVERAGE(All_India_Index_Upto_April23_CPI_data[[#This Row],[Recreation and amusement]],All_India_Index_Upto_April23_CPI_data[[#This Row],[Pan, tobacco and intoxicants]])</f>
        <v>112.4</v>
      </c>
      <c r="AF43" s="2">
        <f>AVERAGE(All_India_Index_Upto_April23_CPI_data[[#This Row],[Household goods and services]],All_India_Index_Upto_April23_CPI_data[[#This Row],[Housing]])</f>
        <v>112.65</v>
      </c>
      <c r="AG43" s="2">
        <f>AVERAGE(All_India_Index_Upto_April23_CPI_data[[#This Row],[Personal care and effects]],All_India_Index_Upto_April23_CPI_data[[#This Row],[Health]])</f>
        <v>109.7</v>
      </c>
      <c r="AH43" s="2">
        <f>AVERAGE(All_India_Index_Upto_April23_CPI_data[[#This Row],[Clothing]:[Clothing and footwear]])</f>
        <v>115.2</v>
      </c>
      <c r="AI43" s="2">
        <v>113.6</v>
      </c>
      <c r="AJ43" s="1">
        <f>(All_India_Index_Upto_April23_CPI_data[[#This Row],[General index]]-AI40)/AI40</f>
        <v>0</v>
      </c>
      <c r="BH43" s="2"/>
      <c r="BI43" s="2"/>
      <c r="BJ43" s="2"/>
      <c r="BK43" s="2"/>
      <c r="BL43" s="2"/>
      <c r="BM43" s="2"/>
      <c r="BN43" s="2"/>
      <c r="BO43" t="s">
        <v>33</v>
      </c>
      <c r="BP43">
        <v>2022</v>
      </c>
      <c r="BQ43" t="s">
        <v>34</v>
      </c>
      <c r="BR43" s="11">
        <f t="shared" si="0"/>
        <v>44593</v>
      </c>
      <c r="BS43" s="2">
        <v>150</v>
      </c>
      <c r="BT43" s="2">
        <v>200.6</v>
      </c>
      <c r="BU43" s="2">
        <v>175.8</v>
      </c>
      <c r="BV43" s="2">
        <v>160.69999999999999</v>
      </c>
      <c r="BW43" s="2">
        <v>184.9</v>
      </c>
      <c r="BX43" s="2">
        <v>153.69999999999999</v>
      </c>
      <c r="BY43" s="2">
        <v>169.7</v>
      </c>
      <c r="BZ43" s="2">
        <v>163.69999999999999</v>
      </c>
      <c r="CA43" s="2">
        <v>118.9</v>
      </c>
      <c r="CB43" s="2">
        <v>174.3</v>
      </c>
      <c r="CC43" s="2">
        <v>164.7</v>
      </c>
      <c r="CD43" s="2">
        <v>178</v>
      </c>
      <c r="CE43" s="2">
        <v>166.2</v>
      </c>
      <c r="CF43" s="2">
        <v>192.8</v>
      </c>
      <c r="CG43" s="2">
        <v>170.8</v>
      </c>
      <c r="CH43" s="2">
        <v>162.4</v>
      </c>
      <c r="CI43" s="2">
        <v>169.6</v>
      </c>
      <c r="CJ43" s="2">
        <v>165.5</v>
      </c>
      <c r="CK43" s="2">
        <v>165.7</v>
      </c>
      <c r="CL43" s="2">
        <v>161.80000000000001</v>
      </c>
      <c r="CM43" s="2">
        <v>172.2</v>
      </c>
      <c r="CN43" s="2">
        <v>156.9</v>
      </c>
      <c r="CO43" s="2">
        <v>162.1</v>
      </c>
      <c r="CP43" s="2">
        <v>165.4</v>
      </c>
      <c r="CQ43" s="2">
        <v>164.4</v>
      </c>
      <c r="CR43" s="2">
        <v>163.5</v>
      </c>
      <c r="CS43" s="2">
        <v>166.24615384615387</v>
      </c>
      <c r="CT43" s="2">
        <v>177.45</v>
      </c>
      <c r="CU43" s="2">
        <v>163.65</v>
      </c>
      <c r="CV43" s="2">
        <v>168.3</v>
      </c>
      <c r="CW43" s="2">
        <v>167.60000000000002</v>
      </c>
      <c r="CX43" s="2">
        <v>166.1</v>
      </c>
      <c r="CY43" s="1">
        <v>2.4140012070006378E-3</v>
      </c>
      <c r="CZ43">
        <f>VLOOKUP(BR43,'OIL PRICE'!$A$1:$B$27,2,0)</f>
        <v>94.07</v>
      </c>
    </row>
    <row r="44" spans="1:104" x14ac:dyDescent="0.25">
      <c r="A44" t="s">
        <v>30</v>
      </c>
      <c r="B44">
        <v>2014</v>
      </c>
      <c r="C44" t="s">
        <v>35</v>
      </c>
      <c r="D44" s="2">
        <v>120.1</v>
      </c>
      <c r="E44" s="2">
        <v>118.1</v>
      </c>
      <c r="F44" s="2">
        <v>120.7</v>
      </c>
      <c r="G44" s="2">
        <v>116.1</v>
      </c>
      <c r="H44" s="2">
        <v>109.3</v>
      </c>
      <c r="I44" s="2">
        <v>119.6</v>
      </c>
      <c r="J44" s="2">
        <v>117.9</v>
      </c>
      <c r="K44" s="2">
        <v>110.2</v>
      </c>
      <c r="L44" s="2">
        <v>101.2</v>
      </c>
      <c r="M44" s="2">
        <v>110.7</v>
      </c>
      <c r="N44" s="2">
        <v>113</v>
      </c>
      <c r="O44" s="2">
        <v>118.3</v>
      </c>
      <c r="P44" s="2">
        <v>116.2</v>
      </c>
      <c r="Q44" s="2">
        <v>114.6</v>
      </c>
      <c r="R44" s="2">
        <v>117.5</v>
      </c>
      <c r="S44" s="2">
        <v>114.9</v>
      </c>
      <c r="T44" s="2">
        <v>117.2</v>
      </c>
      <c r="U44" s="2">
        <v>0</v>
      </c>
      <c r="V44" s="2">
        <v>113.4</v>
      </c>
      <c r="W44" s="2">
        <v>113.4</v>
      </c>
      <c r="X44" s="2">
        <v>111.4</v>
      </c>
      <c r="Y44" s="2">
        <v>111.2</v>
      </c>
      <c r="Z44" s="2">
        <v>110.2</v>
      </c>
      <c r="AA44" s="2">
        <v>112.4</v>
      </c>
      <c r="AB44" s="2">
        <v>108.9</v>
      </c>
      <c r="AC44" s="2">
        <v>111.3</v>
      </c>
      <c r="AD44" s="2">
        <f>AVERAGE(All_India_Index_Upto_April23_CPI_data[[#This Row],[Cereals and products]:[Food and beverages]])</f>
        <v>114.72307692307693</v>
      </c>
      <c r="AE44" s="2">
        <f>AVERAGE(All_India_Index_Upto_April23_CPI_data[[#This Row],[Recreation and amusement]],All_India_Index_Upto_April23_CPI_data[[#This Row],[Pan, tobacco and intoxicants]])</f>
        <v>112.4</v>
      </c>
      <c r="AF44" s="2">
        <f>AVERAGE(All_India_Index_Upto_April23_CPI_data[[#This Row],[Household goods and services]],All_India_Index_Upto_April23_CPI_data[[#This Row],[Housing]])</f>
        <v>56.7</v>
      </c>
      <c r="AG44" s="2">
        <f>AVERAGE(All_India_Index_Upto_April23_CPI_data[[#This Row],[Personal care and effects]],All_India_Index_Upto_April23_CPI_data[[#This Row],[Health]])</f>
        <v>110.15</v>
      </c>
      <c r="AH44" s="2">
        <f>AVERAGE(All_India_Index_Upto_April23_CPI_data[[#This Row],[Clothing]:[Clothing and footwear]])</f>
        <v>116.53333333333335</v>
      </c>
      <c r="AI44" s="2">
        <v>114.6</v>
      </c>
      <c r="AJ44" s="1">
        <f>(All_India_Index_Upto_April23_CPI_data[[#This Row],[General index]]-AI41)/AI41</f>
        <v>5.2631578947367925E-3</v>
      </c>
      <c r="BH44" s="2"/>
      <c r="BI44" s="2"/>
      <c r="BJ44" s="2"/>
      <c r="BK44" s="2"/>
      <c r="BL44" s="2"/>
      <c r="BM44" s="2"/>
      <c r="BN44" s="2"/>
      <c r="BO44" t="s">
        <v>30</v>
      </c>
      <c r="BP44">
        <v>2022</v>
      </c>
      <c r="BQ44" t="s">
        <v>35</v>
      </c>
      <c r="BR44" s="11">
        <f t="shared" si="0"/>
        <v>44621</v>
      </c>
      <c r="BS44" s="2">
        <v>150.19999999999999</v>
      </c>
      <c r="BT44" s="2">
        <v>208</v>
      </c>
      <c r="BU44" s="2">
        <v>167.9</v>
      </c>
      <c r="BV44" s="2">
        <v>162</v>
      </c>
      <c r="BW44" s="2">
        <v>203.1</v>
      </c>
      <c r="BX44" s="2">
        <v>155.9</v>
      </c>
      <c r="BY44" s="2">
        <v>155.80000000000001</v>
      </c>
      <c r="BZ44" s="2">
        <v>164.2</v>
      </c>
      <c r="CA44" s="2">
        <v>118.1</v>
      </c>
      <c r="CB44" s="2">
        <v>178.7</v>
      </c>
      <c r="CC44" s="2">
        <v>171.2</v>
      </c>
      <c r="CD44" s="2">
        <v>177.4</v>
      </c>
      <c r="CE44" s="2">
        <v>166.6</v>
      </c>
      <c r="CF44" s="2">
        <v>192.3</v>
      </c>
      <c r="CG44" s="2">
        <v>175.4</v>
      </c>
      <c r="CH44" s="2">
        <v>173.2</v>
      </c>
      <c r="CI44" s="2">
        <v>175.1</v>
      </c>
      <c r="CJ44" s="2">
        <v>0</v>
      </c>
      <c r="CK44" s="2">
        <v>168.9</v>
      </c>
      <c r="CL44" s="2">
        <v>166.5</v>
      </c>
      <c r="CM44" s="2">
        <v>176</v>
      </c>
      <c r="CN44" s="2">
        <v>162</v>
      </c>
      <c r="CO44" s="2">
        <v>166.6</v>
      </c>
      <c r="CP44" s="2">
        <v>170.6</v>
      </c>
      <c r="CQ44" s="2">
        <v>167.4</v>
      </c>
      <c r="CR44" s="2">
        <v>168.3</v>
      </c>
      <c r="CS44" s="2">
        <v>167.62307692307695</v>
      </c>
      <c r="CT44" s="2">
        <v>179.45</v>
      </c>
      <c r="CU44" s="2">
        <v>83.25</v>
      </c>
      <c r="CV44" s="2">
        <v>171.7</v>
      </c>
      <c r="CW44" s="2">
        <v>174.56666666666669</v>
      </c>
      <c r="CX44" s="2">
        <v>168.7</v>
      </c>
      <c r="CY44" s="1">
        <v>1.199760047990402E-2</v>
      </c>
      <c r="CZ44">
        <f>VLOOKUP(BR44,'OIL PRICE'!$A$1:$B$27,2,0)</f>
        <v>112.87</v>
      </c>
    </row>
    <row r="45" spans="1:104" x14ac:dyDescent="0.25">
      <c r="A45" t="s">
        <v>32</v>
      </c>
      <c r="B45">
        <v>2014</v>
      </c>
      <c r="C45" t="s">
        <v>35</v>
      </c>
      <c r="D45" s="2">
        <v>122.1</v>
      </c>
      <c r="E45" s="2">
        <v>121.4</v>
      </c>
      <c r="F45" s="2">
        <v>121.5</v>
      </c>
      <c r="G45" s="2">
        <v>116.2</v>
      </c>
      <c r="H45" s="2">
        <v>102.8</v>
      </c>
      <c r="I45" s="2">
        <v>117.7</v>
      </c>
      <c r="J45" s="2">
        <v>113.3</v>
      </c>
      <c r="K45" s="2">
        <v>108.9</v>
      </c>
      <c r="L45" s="2">
        <v>96.3</v>
      </c>
      <c r="M45" s="2">
        <v>114.1</v>
      </c>
      <c r="N45" s="2">
        <v>112.2</v>
      </c>
      <c r="O45" s="2">
        <v>120.5</v>
      </c>
      <c r="P45" s="2">
        <v>116</v>
      </c>
      <c r="Q45" s="2">
        <v>116.7</v>
      </c>
      <c r="R45" s="2">
        <v>115.8</v>
      </c>
      <c r="S45" s="2">
        <v>112.1</v>
      </c>
      <c r="T45" s="2">
        <v>115.2</v>
      </c>
      <c r="U45" s="2">
        <v>113.2</v>
      </c>
      <c r="V45" s="2">
        <v>110.9</v>
      </c>
      <c r="W45" s="2">
        <v>113</v>
      </c>
      <c r="X45" s="2">
        <v>110.8</v>
      </c>
      <c r="Y45" s="2">
        <v>111.6</v>
      </c>
      <c r="Z45" s="2">
        <v>110.9</v>
      </c>
      <c r="AA45" s="2">
        <v>111.8</v>
      </c>
      <c r="AB45" s="2">
        <v>109.2</v>
      </c>
      <c r="AC45" s="2">
        <v>111.4</v>
      </c>
      <c r="AD45" s="2">
        <f>AVERAGE(All_India_Index_Upto_April23_CPI_data[[#This Row],[Cereals and products]:[Food and beverages]])</f>
        <v>114.07692307692308</v>
      </c>
      <c r="AE45" s="2">
        <f>AVERAGE(All_India_Index_Upto_April23_CPI_data[[#This Row],[Recreation and amusement]],All_India_Index_Upto_April23_CPI_data[[#This Row],[Pan, tobacco and intoxicants]])</f>
        <v>113.80000000000001</v>
      </c>
      <c r="AF45" s="2">
        <f>AVERAGE(All_India_Index_Upto_April23_CPI_data[[#This Row],[Household goods and services]],All_India_Index_Upto_April23_CPI_data[[#This Row],[Housing]])</f>
        <v>113.1</v>
      </c>
      <c r="AG45" s="2">
        <f>AVERAGE(All_India_Index_Upto_April23_CPI_data[[#This Row],[Personal care and effects]],All_India_Index_Upto_April23_CPI_data[[#This Row],[Health]])</f>
        <v>110</v>
      </c>
      <c r="AH45" s="2">
        <f>AVERAGE(All_India_Index_Upto_April23_CPI_data[[#This Row],[Clothing]:[Clothing and footwear]])</f>
        <v>114.36666666666666</v>
      </c>
      <c r="AI45" s="2">
        <v>113.7</v>
      </c>
      <c r="AJ45" s="1">
        <f>(All_India_Index_Upto_April23_CPI_data[[#This Row],[General index]]-AI42)/AI42</f>
        <v>5.3050397877984845E-3</v>
      </c>
      <c r="BH45" s="2"/>
      <c r="BI45" s="2"/>
      <c r="BJ45" s="2"/>
      <c r="BK45" s="2"/>
      <c r="BL45" s="2"/>
      <c r="BM45" s="2"/>
      <c r="BN45" s="2"/>
      <c r="BO45" t="s">
        <v>32</v>
      </c>
      <c r="BP45">
        <v>2022</v>
      </c>
      <c r="BQ45" t="s">
        <v>35</v>
      </c>
      <c r="BR45" s="11">
        <f t="shared" si="0"/>
        <v>44621</v>
      </c>
      <c r="BS45" s="2">
        <v>153.69999999999999</v>
      </c>
      <c r="BT45" s="2">
        <v>215.8</v>
      </c>
      <c r="BU45" s="2">
        <v>167.7</v>
      </c>
      <c r="BV45" s="2">
        <v>162.6</v>
      </c>
      <c r="BW45" s="2">
        <v>180</v>
      </c>
      <c r="BX45" s="2">
        <v>159.6</v>
      </c>
      <c r="BY45" s="2">
        <v>188.4</v>
      </c>
      <c r="BZ45" s="2">
        <v>163.4</v>
      </c>
      <c r="CA45" s="2">
        <v>120.3</v>
      </c>
      <c r="CB45" s="2">
        <v>174.7</v>
      </c>
      <c r="CC45" s="2">
        <v>157.1</v>
      </c>
      <c r="CD45" s="2">
        <v>181.5</v>
      </c>
      <c r="CE45" s="2">
        <v>171.5</v>
      </c>
      <c r="CF45" s="2">
        <v>197.5</v>
      </c>
      <c r="CG45" s="2">
        <v>167.1</v>
      </c>
      <c r="CH45" s="2">
        <v>152.6</v>
      </c>
      <c r="CI45" s="2">
        <v>164.9</v>
      </c>
      <c r="CJ45" s="2">
        <v>165.3</v>
      </c>
      <c r="CK45" s="2">
        <v>164.5</v>
      </c>
      <c r="CL45" s="2">
        <v>158.6</v>
      </c>
      <c r="CM45" s="2">
        <v>168.2</v>
      </c>
      <c r="CN45" s="2">
        <v>154.19999999999999</v>
      </c>
      <c r="CO45" s="2">
        <v>160.80000000000001</v>
      </c>
      <c r="CP45" s="2">
        <v>162.69999999999999</v>
      </c>
      <c r="CQ45" s="2">
        <v>166.8</v>
      </c>
      <c r="CR45" s="2">
        <v>160.6</v>
      </c>
      <c r="CS45" s="2">
        <v>168.94615384615386</v>
      </c>
      <c r="CT45" s="2">
        <v>179.15</v>
      </c>
      <c r="CU45" s="2">
        <v>161.94999999999999</v>
      </c>
      <c r="CV45" s="2">
        <v>167.5</v>
      </c>
      <c r="CW45" s="2">
        <v>161.53333333333333</v>
      </c>
      <c r="CX45" s="2">
        <v>166.5</v>
      </c>
      <c r="CY45" s="1">
        <v>6.0422960725075529E-3</v>
      </c>
      <c r="CZ45">
        <f>VLOOKUP(BR45,'OIL PRICE'!$A$1:$B$27,2,0)</f>
        <v>112.87</v>
      </c>
    </row>
    <row r="46" spans="1:104" x14ac:dyDescent="0.25">
      <c r="A46" t="s">
        <v>33</v>
      </c>
      <c r="B46">
        <v>2014</v>
      </c>
      <c r="C46" t="s">
        <v>35</v>
      </c>
      <c r="D46" s="2">
        <v>120.7</v>
      </c>
      <c r="E46" s="2">
        <v>119.3</v>
      </c>
      <c r="F46" s="2">
        <v>121</v>
      </c>
      <c r="G46" s="2">
        <v>116.1</v>
      </c>
      <c r="H46" s="2">
        <v>106.9</v>
      </c>
      <c r="I46" s="2">
        <v>118.7</v>
      </c>
      <c r="J46" s="2">
        <v>116.3</v>
      </c>
      <c r="K46" s="2">
        <v>109.8</v>
      </c>
      <c r="L46" s="2">
        <v>99.6</v>
      </c>
      <c r="M46" s="2">
        <v>111.8</v>
      </c>
      <c r="N46" s="2">
        <v>112.7</v>
      </c>
      <c r="O46" s="2">
        <v>119.3</v>
      </c>
      <c r="P46" s="2">
        <v>116.1</v>
      </c>
      <c r="Q46" s="2">
        <v>115.2</v>
      </c>
      <c r="R46" s="2">
        <v>116.8</v>
      </c>
      <c r="S46" s="2">
        <v>113.7</v>
      </c>
      <c r="T46" s="2">
        <v>116.4</v>
      </c>
      <c r="U46" s="2">
        <v>113.2</v>
      </c>
      <c r="V46" s="2">
        <v>112.5</v>
      </c>
      <c r="W46" s="2">
        <v>113.2</v>
      </c>
      <c r="X46" s="2">
        <v>111.2</v>
      </c>
      <c r="Y46" s="2">
        <v>111.4</v>
      </c>
      <c r="Z46" s="2">
        <v>110.6</v>
      </c>
      <c r="AA46" s="2">
        <v>112</v>
      </c>
      <c r="AB46" s="2">
        <v>109</v>
      </c>
      <c r="AC46" s="2">
        <v>111.3</v>
      </c>
      <c r="AD46" s="2">
        <f>AVERAGE(All_India_Index_Upto_April23_CPI_data[[#This Row],[Cereals and products]:[Food and beverages]])</f>
        <v>114.48461538461537</v>
      </c>
      <c r="AE46" s="2">
        <f>AVERAGE(All_India_Index_Upto_April23_CPI_data[[#This Row],[Recreation and amusement]],All_India_Index_Upto_April23_CPI_data[[#This Row],[Pan, tobacco and intoxicants]])</f>
        <v>112.9</v>
      </c>
      <c r="AF46" s="2">
        <f>AVERAGE(All_India_Index_Upto_April23_CPI_data[[#This Row],[Household goods and services]],All_India_Index_Upto_April23_CPI_data[[#This Row],[Housing]])</f>
        <v>113.2</v>
      </c>
      <c r="AG46" s="2">
        <f>AVERAGE(All_India_Index_Upto_April23_CPI_data[[#This Row],[Personal care and effects]],All_India_Index_Upto_April23_CPI_data[[#This Row],[Health]])</f>
        <v>110.1</v>
      </c>
      <c r="AH46" s="2">
        <f>AVERAGE(All_India_Index_Upto_April23_CPI_data[[#This Row],[Clothing]:[Clothing and footwear]])</f>
        <v>115.63333333333333</v>
      </c>
      <c r="AI46" s="2">
        <v>114.2</v>
      </c>
      <c r="AJ46" s="1">
        <f>(All_India_Index_Upto_April23_CPI_data[[#This Row],[General index]]-AI43)/AI43</f>
        <v>5.2816901408451458E-3</v>
      </c>
      <c r="BH46" s="2"/>
      <c r="BI46" s="2"/>
      <c r="BJ46" s="2"/>
      <c r="BK46" s="2"/>
      <c r="BL46" s="2"/>
      <c r="BM46" s="2"/>
      <c r="BN46" s="2"/>
      <c r="BO46" t="s">
        <v>33</v>
      </c>
      <c r="BP46">
        <v>2022</v>
      </c>
      <c r="BQ46" t="s">
        <v>35</v>
      </c>
      <c r="BR46" s="11">
        <f t="shared" si="0"/>
        <v>44621</v>
      </c>
      <c r="BS46" s="2">
        <v>151.30000000000001</v>
      </c>
      <c r="BT46" s="2">
        <v>210.7</v>
      </c>
      <c r="BU46" s="2">
        <v>167.8</v>
      </c>
      <c r="BV46" s="2">
        <v>162.19999999999999</v>
      </c>
      <c r="BW46" s="2">
        <v>194.6</v>
      </c>
      <c r="BX46" s="2">
        <v>157.6</v>
      </c>
      <c r="BY46" s="2">
        <v>166.9</v>
      </c>
      <c r="BZ46" s="2">
        <v>163.9</v>
      </c>
      <c r="CA46" s="2">
        <v>118.8</v>
      </c>
      <c r="CB46" s="2">
        <v>177.4</v>
      </c>
      <c r="CC46" s="2">
        <v>165.3</v>
      </c>
      <c r="CD46" s="2">
        <v>179.3</v>
      </c>
      <c r="CE46" s="2">
        <v>168.4</v>
      </c>
      <c r="CF46" s="2">
        <v>193.7</v>
      </c>
      <c r="CG46" s="2">
        <v>172.1</v>
      </c>
      <c r="CH46" s="2">
        <v>164.6</v>
      </c>
      <c r="CI46" s="2">
        <v>171.1</v>
      </c>
      <c r="CJ46" s="2">
        <v>165.3</v>
      </c>
      <c r="CK46" s="2">
        <v>167.2</v>
      </c>
      <c r="CL46" s="2">
        <v>162.80000000000001</v>
      </c>
      <c r="CM46" s="2">
        <v>173</v>
      </c>
      <c r="CN46" s="2">
        <v>157.9</v>
      </c>
      <c r="CO46" s="2">
        <v>163.30000000000001</v>
      </c>
      <c r="CP46" s="2">
        <v>166</v>
      </c>
      <c r="CQ46" s="2">
        <v>167.2</v>
      </c>
      <c r="CR46" s="2">
        <v>164.6</v>
      </c>
      <c r="CS46" s="2">
        <v>168.01538461538465</v>
      </c>
      <c r="CT46" s="2">
        <v>178.5</v>
      </c>
      <c r="CU46" s="2">
        <v>164.05</v>
      </c>
      <c r="CV46" s="2">
        <v>170.1</v>
      </c>
      <c r="CW46" s="2">
        <v>169.26666666666665</v>
      </c>
      <c r="CX46" s="2">
        <v>167.7</v>
      </c>
      <c r="CY46" s="1">
        <v>9.6327513546056245E-3</v>
      </c>
      <c r="CZ46">
        <f>VLOOKUP(BR46,'OIL PRICE'!$A$1:$B$27,2,0)</f>
        <v>112.87</v>
      </c>
    </row>
    <row r="47" spans="1:104" x14ac:dyDescent="0.25">
      <c r="A47" t="s">
        <v>30</v>
      </c>
      <c r="B47">
        <v>2014</v>
      </c>
      <c r="C47" t="s">
        <v>36</v>
      </c>
      <c r="D47" s="2">
        <v>120.2</v>
      </c>
      <c r="E47" s="2">
        <v>118.9</v>
      </c>
      <c r="F47" s="2">
        <v>118.1</v>
      </c>
      <c r="G47" s="2">
        <v>117</v>
      </c>
      <c r="H47" s="2">
        <v>109.7</v>
      </c>
      <c r="I47" s="2">
        <v>125.5</v>
      </c>
      <c r="J47" s="2">
        <v>120.5</v>
      </c>
      <c r="K47" s="2">
        <v>111</v>
      </c>
      <c r="L47" s="2">
        <v>102.6</v>
      </c>
      <c r="M47" s="2">
        <v>111.2</v>
      </c>
      <c r="N47" s="2">
        <v>113.5</v>
      </c>
      <c r="O47" s="2">
        <v>118.7</v>
      </c>
      <c r="P47" s="2">
        <v>117.2</v>
      </c>
      <c r="Q47" s="2">
        <v>115.4</v>
      </c>
      <c r="R47" s="2">
        <v>118.1</v>
      </c>
      <c r="S47" s="2">
        <v>116.1</v>
      </c>
      <c r="T47" s="2">
        <v>117.8</v>
      </c>
      <c r="U47" s="2">
        <v>0</v>
      </c>
      <c r="V47" s="2">
        <v>113.4</v>
      </c>
      <c r="W47" s="2">
        <v>113.7</v>
      </c>
      <c r="X47" s="2">
        <v>111.8</v>
      </c>
      <c r="Y47" s="2">
        <v>111.2</v>
      </c>
      <c r="Z47" s="2">
        <v>110.5</v>
      </c>
      <c r="AA47" s="2">
        <v>113</v>
      </c>
      <c r="AB47" s="2">
        <v>108.9</v>
      </c>
      <c r="AC47" s="2">
        <v>111.5</v>
      </c>
      <c r="AD47" s="2">
        <f>AVERAGE(All_India_Index_Upto_April23_CPI_data[[#This Row],[Cereals and products]:[Food and beverages]])</f>
        <v>115.70000000000002</v>
      </c>
      <c r="AE47" s="2">
        <f>AVERAGE(All_India_Index_Upto_April23_CPI_data[[#This Row],[Recreation and amusement]],All_India_Index_Upto_April23_CPI_data[[#This Row],[Pan, tobacco and intoxicants]])</f>
        <v>112.95</v>
      </c>
      <c r="AF47" s="2">
        <f>AVERAGE(All_India_Index_Upto_April23_CPI_data[[#This Row],[Household goods and services]],All_India_Index_Upto_April23_CPI_data[[#This Row],[Housing]])</f>
        <v>56.85</v>
      </c>
      <c r="AG47" s="2">
        <f>AVERAGE(All_India_Index_Upto_April23_CPI_data[[#This Row],[Personal care and effects]],All_India_Index_Upto_April23_CPI_data[[#This Row],[Health]])</f>
        <v>110.35</v>
      </c>
      <c r="AH47" s="2">
        <f>AVERAGE(All_India_Index_Upto_April23_CPI_data[[#This Row],[Clothing]:[Clothing and footwear]])</f>
        <v>117.33333333333333</v>
      </c>
      <c r="AI47" s="2">
        <v>115.4</v>
      </c>
      <c r="AJ47" s="1">
        <f>(All_India_Index_Upto_April23_CPI_data[[#This Row],[General index]]-AI44)/AI44</f>
        <v>6.9808027923212168E-3</v>
      </c>
      <c r="BH47" s="2"/>
      <c r="BI47" s="2"/>
      <c r="BJ47" s="2"/>
      <c r="BK47" s="2"/>
      <c r="BL47" s="2"/>
      <c r="BM47" s="2"/>
      <c r="BN47" s="2"/>
      <c r="BO47" t="s">
        <v>30</v>
      </c>
      <c r="BP47">
        <v>2022</v>
      </c>
      <c r="BQ47" t="s">
        <v>36</v>
      </c>
      <c r="BR47" s="11">
        <f t="shared" si="0"/>
        <v>44652</v>
      </c>
      <c r="BS47" s="2">
        <v>151.80000000000001</v>
      </c>
      <c r="BT47" s="2">
        <v>209.7</v>
      </c>
      <c r="BU47" s="2">
        <v>164.5</v>
      </c>
      <c r="BV47" s="2">
        <v>163.80000000000001</v>
      </c>
      <c r="BW47" s="2">
        <v>207.4</v>
      </c>
      <c r="BX47" s="2">
        <v>169.7</v>
      </c>
      <c r="BY47" s="2">
        <v>153.6</v>
      </c>
      <c r="BZ47" s="2">
        <v>165.1</v>
      </c>
      <c r="CA47" s="2">
        <v>118.2</v>
      </c>
      <c r="CB47" s="2">
        <v>182.9</v>
      </c>
      <c r="CC47" s="2">
        <v>172.4</v>
      </c>
      <c r="CD47" s="2">
        <v>178.9</v>
      </c>
      <c r="CE47" s="2">
        <v>168.6</v>
      </c>
      <c r="CF47" s="2">
        <v>192.8</v>
      </c>
      <c r="CG47" s="2">
        <v>177.5</v>
      </c>
      <c r="CH47" s="2">
        <v>175.1</v>
      </c>
      <c r="CI47" s="2">
        <v>177.1</v>
      </c>
      <c r="CJ47" s="2">
        <v>0</v>
      </c>
      <c r="CK47" s="2">
        <v>173.3</v>
      </c>
      <c r="CL47" s="2">
        <v>167.7</v>
      </c>
      <c r="CM47" s="2">
        <v>177</v>
      </c>
      <c r="CN47" s="2">
        <v>166.2</v>
      </c>
      <c r="CO47" s="2">
        <v>167.2</v>
      </c>
      <c r="CP47" s="2">
        <v>170.9</v>
      </c>
      <c r="CQ47" s="2">
        <v>169</v>
      </c>
      <c r="CR47" s="2">
        <v>170.2</v>
      </c>
      <c r="CS47" s="2">
        <v>169.73846153846154</v>
      </c>
      <c r="CT47" s="2">
        <v>180</v>
      </c>
      <c r="CU47" s="2">
        <v>83.85</v>
      </c>
      <c r="CV47" s="2">
        <v>173</v>
      </c>
      <c r="CW47" s="2">
        <v>176.56666666666669</v>
      </c>
      <c r="CX47" s="2">
        <v>170.8</v>
      </c>
      <c r="CY47" s="1">
        <v>1.2448132780083124E-2</v>
      </c>
      <c r="CZ47">
        <f>VLOOKUP(BR47,'OIL PRICE'!$A$1:$B$27,2,0)</f>
        <v>102.97</v>
      </c>
    </row>
    <row r="48" spans="1:104" x14ac:dyDescent="0.25">
      <c r="A48" t="s">
        <v>32</v>
      </c>
      <c r="B48">
        <v>2014</v>
      </c>
      <c r="C48" t="s">
        <v>36</v>
      </c>
      <c r="D48" s="2">
        <v>122.5</v>
      </c>
      <c r="E48" s="2">
        <v>121.7</v>
      </c>
      <c r="F48" s="2">
        <v>113.3</v>
      </c>
      <c r="G48" s="2">
        <v>117</v>
      </c>
      <c r="H48" s="2">
        <v>103.1</v>
      </c>
      <c r="I48" s="2">
        <v>126.7</v>
      </c>
      <c r="J48" s="2">
        <v>121.2</v>
      </c>
      <c r="K48" s="2">
        <v>111</v>
      </c>
      <c r="L48" s="2">
        <v>100.3</v>
      </c>
      <c r="M48" s="2">
        <v>115.3</v>
      </c>
      <c r="N48" s="2">
        <v>112.7</v>
      </c>
      <c r="O48" s="2">
        <v>121</v>
      </c>
      <c r="P48" s="2">
        <v>118.2</v>
      </c>
      <c r="Q48" s="2">
        <v>117.6</v>
      </c>
      <c r="R48" s="2">
        <v>116.3</v>
      </c>
      <c r="S48" s="2">
        <v>112.5</v>
      </c>
      <c r="T48" s="2">
        <v>115.7</v>
      </c>
      <c r="U48" s="2">
        <v>113.9</v>
      </c>
      <c r="V48" s="2">
        <v>110.9</v>
      </c>
      <c r="W48" s="2">
        <v>113.4</v>
      </c>
      <c r="X48" s="2">
        <v>111</v>
      </c>
      <c r="Y48" s="2">
        <v>111.2</v>
      </c>
      <c r="Z48" s="2">
        <v>111.2</v>
      </c>
      <c r="AA48" s="2">
        <v>112.5</v>
      </c>
      <c r="AB48" s="2">
        <v>109.1</v>
      </c>
      <c r="AC48" s="2">
        <v>111.4</v>
      </c>
      <c r="AD48" s="2">
        <f>AVERAGE(All_India_Index_Upto_April23_CPI_data[[#This Row],[Cereals and products]:[Food and beverages]])</f>
        <v>115.69230769230771</v>
      </c>
      <c r="AE48" s="2">
        <f>AVERAGE(All_India_Index_Upto_April23_CPI_data[[#This Row],[Recreation and amusement]],All_India_Index_Upto_April23_CPI_data[[#This Row],[Pan, tobacco and intoxicants]])</f>
        <v>114.4</v>
      </c>
      <c r="AF48" s="2">
        <f>AVERAGE(All_India_Index_Upto_April23_CPI_data[[#This Row],[Household goods and services]],All_India_Index_Upto_April23_CPI_data[[#This Row],[Housing]])</f>
        <v>113.65</v>
      </c>
      <c r="AG48" s="2">
        <f>AVERAGE(All_India_Index_Upto_April23_CPI_data[[#This Row],[Personal care and effects]],All_India_Index_Upto_April23_CPI_data[[#This Row],[Health]])</f>
        <v>110.05</v>
      </c>
      <c r="AH48" s="2">
        <f>AVERAGE(All_India_Index_Upto_April23_CPI_data[[#This Row],[Clothing]:[Clothing and footwear]])</f>
        <v>114.83333333333333</v>
      </c>
      <c r="AI48" s="2">
        <v>114.7</v>
      </c>
      <c r="AJ48" s="1">
        <f>(All_India_Index_Upto_April23_CPI_data[[#This Row],[General index]]-AI45)/AI45</f>
        <v>8.7950747581354433E-3</v>
      </c>
      <c r="BH48" s="2"/>
      <c r="BI48" s="2"/>
      <c r="BJ48" s="2"/>
      <c r="BK48" s="2"/>
      <c r="BL48" s="2"/>
      <c r="BM48" s="2"/>
      <c r="BN48" s="2"/>
      <c r="BO48" t="s">
        <v>32</v>
      </c>
      <c r="BP48">
        <v>2022</v>
      </c>
      <c r="BQ48" t="s">
        <v>36</v>
      </c>
      <c r="BR48" s="11">
        <f t="shared" si="0"/>
        <v>44652</v>
      </c>
      <c r="BS48" s="2">
        <v>155.4</v>
      </c>
      <c r="BT48" s="2">
        <v>215.8</v>
      </c>
      <c r="BU48" s="2">
        <v>164.6</v>
      </c>
      <c r="BV48" s="2">
        <v>164.2</v>
      </c>
      <c r="BW48" s="2">
        <v>186</v>
      </c>
      <c r="BX48" s="2">
        <v>175.9</v>
      </c>
      <c r="BY48" s="2">
        <v>190.7</v>
      </c>
      <c r="BZ48" s="2">
        <v>164</v>
      </c>
      <c r="CA48" s="2">
        <v>120.5</v>
      </c>
      <c r="CB48" s="2">
        <v>178</v>
      </c>
      <c r="CC48" s="2">
        <v>157.5</v>
      </c>
      <c r="CD48" s="2">
        <v>183.3</v>
      </c>
      <c r="CE48" s="2">
        <v>174.5</v>
      </c>
      <c r="CF48" s="2">
        <v>197.1</v>
      </c>
      <c r="CG48" s="2">
        <v>168.4</v>
      </c>
      <c r="CH48" s="2">
        <v>154.5</v>
      </c>
      <c r="CI48" s="2">
        <v>166.3</v>
      </c>
      <c r="CJ48" s="2">
        <v>167</v>
      </c>
      <c r="CK48" s="2">
        <v>170.5</v>
      </c>
      <c r="CL48" s="2">
        <v>159.80000000000001</v>
      </c>
      <c r="CM48" s="2">
        <v>169</v>
      </c>
      <c r="CN48" s="2">
        <v>159.30000000000001</v>
      </c>
      <c r="CO48" s="2">
        <v>162.19999999999999</v>
      </c>
      <c r="CP48" s="2">
        <v>164</v>
      </c>
      <c r="CQ48" s="2">
        <v>168.4</v>
      </c>
      <c r="CR48" s="2">
        <v>163.1</v>
      </c>
      <c r="CS48" s="2">
        <v>171.56923076923078</v>
      </c>
      <c r="CT48" s="2">
        <v>179.64999999999998</v>
      </c>
      <c r="CU48" s="2">
        <v>163.4</v>
      </c>
      <c r="CV48" s="2">
        <v>168.7</v>
      </c>
      <c r="CW48" s="2">
        <v>163.06666666666666</v>
      </c>
      <c r="CX48" s="2">
        <v>169.2</v>
      </c>
      <c r="CY48" s="1">
        <v>1.6216216216216148E-2</v>
      </c>
      <c r="CZ48">
        <f>VLOOKUP(BR48,'OIL PRICE'!$A$1:$B$27,2,0)</f>
        <v>102.97</v>
      </c>
    </row>
    <row r="49" spans="1:104" x14ac:dyDescent="0.25">
      <c r="A49" t="s">
        <v>33</v>
      </c>
      <c r="B49">
        <v>2014</v>
      </c>
      <c r="C49" t="s">
        <v>36</v>
      </c>
      <c r="D49" s="2">
        <v>120.9</v>
      </c>
      <c r="E49" s="2">
        <v>119.9</v>
      </c>
      <c r="F49" s="2">
        <v>116.2</v>
      </c>
      <c r="G49" s="2">
        <v>117</v>
      </c>
      <c r="H49" s="2">
        <v>107.3</v>
      </c>
      <c r="I49" s="2">
        <v>126.1</v>
      </c>
      <c r="J49" s="2">
        <v>120.7</v>
      </c>
      <c r="K49" s="2">
        <v>111</v>
      </c>
      <c r="L49" s="2">
        <v>101.8</v>
      </c>
      <c r="M49" s="2">
        <v>112.6</v>
      </c>
      <c r="N49" s="2">
        <v>113.2</v>
      </c>
      <c r="O49" s="2">
        <v>119.8</v>
      </c>
      <c r="P49" s="2">
        <v>117.6</v>
      </c>
      <c r="Q49" s="2">
        <v>116</v>
      </c>
      <c r="R49" s="2">
        <v>117.4</v>
      </c>
      <c r="S49" s="2">
        <v>114.6</v>
      </c>
      <c r="T49" s="2">
        <v>117</v>
      </c>
      <c r="U49" s="2">
        <v>113.9</v>
      </c>
      <c r="V49" s="2">
        <v>112.5</v>
      </c>
      <c r="W49" s="2">
        <v>113.6</v>
      </c>
      <c r="X49" s="2">
        <v>111.5</v>
      </c>
      <c r="Y49" s="2">
        <v>111.2</v>
      </c>
      <c r="Z49" s="2">
        <v>110.9</v>
      </c>
      <c r="AA49" s="2">
        <v>112.7</v>
      </c>
      <c r="AB49" s="2">
        <v>109</v>
      </c>
      <c r="AC49" s="2">
        <v>111.5</v>
      </c>
      <c r="AD49" s="2">
        <f>AVERAGE(All_India_Index_Upto_April23_CPI_data[[#This Row],[Cereals and products]:[Food and beverages]])</f>
        <v>115.69999999999999</v>
      </c>
      <c r="AE49" s="2">
        <f>AVERAGE(All_India_Index_Upto_April23_CPI_data[[#This Row],[Recreation and amusement]],All_India_Index_Upto_April23_CPI_data[[#This Row],[Pan, tobacco and intoxicants]])</f>
        <v>113.45</v>
      </c>
      <c r="AF49" s="2">
        <f>AVERAGE(All_India_Index_Upto_April23_CPI_data[[#This Row],[Household goods and services]],All_India_Index_Upto_April23_CPI_data[[#This Row],[Housing]])</f>
        <v>113.75</v>
      </c>
      <c r="AG49" s="2">
        <f>AVERAGE(All_India_Index_Upto_April23_CPI_data[[#This Row],[Personal care and effects]],All_India_Index_Upto_April23_CPI_data[[#This Row],[Health]])</f>
        <v>110.25</v>
      </c>
      <c r="AH49" s="2">
        <f>AVERAGE(All_India_Index_Upto_April23_CPI_data[[#This Row],[Clothing]:[Clothing and footwear]])</f>
        <v>116.33333333333333</v>
      </c>
      <c r="AI49" s="2">
        <v>115.1</v>
      </c>
      <c r="AJ49" s="1">
        <f>(All_India_Index_Upto_April23_CPI_data[[#This Row],[General index]]-AI46)/AI46</f>
        <v>7.8809106830121847E-3</v>
      </c>
      <c r="BH49" s="2"/>
      <c r="BI49" s="2"/>
      <c r="BJ49" s="2"/>
      <c r="BK49" s="2"/>
      <c r="BL49" s="2"/>
      <c r="BM49" s="2"/>
      <c r="BN49" s="2"/>
      <c r="BO49" t="s">
        <v>33</v>
      </c>
      <c r="BP49">
        <v>2022</v>
      </c>
      <c r="BQ49" t="s">
        <v>36</v>
      </c>
      <c r="BR49" s="11">
        <f t="shared" si="0"/>
        <v>44652</v>
      </c>
      <c r="BS49" s="2">
        <v>152.9</v>
      </c>
      <c r="BT49" s="2">
        <v>211.8</v>
      </c>
      <c r="BU49" s="2">
        <v>164.5</v>
      </c>
      <c r="BV49" s="2">
        <v>163.9</v>
      </c>
      <c r="BW49" s="2">
        <v>199.5</v>
      </c>
      <c r="BX49" s="2">
        <v>172.6</v>
      </c>
      <c r="BY49" s="2">
        <v>166.2</v>
      </c>
      <c r="BZ49" s="2">
        <v>164.7</v>
      </c>
      <c r="CA49" s="2">
        <v>119</v>
      </c>
      <c r="CB49" s="2">
        <v>181.3</v>
      </c>
      <c r="CC49" s="2">
        <v>166.2</v>
      </c>
      <c r="CD49" s="2">
        <v>180.9</v>
      </c>
      <c r="CE49" s="2">
        <v>170.8</v>
      </c>
      <c r="CF49" s="2">
        <v>193.9</v>
      </c>
      <c r="CG49" s="2">
        <v>173.9</v>
      </c>
      <c r="CH49" s="2">
        <v>166.5</v>
      </c>
      <c r="CI49" s="2">
        <v>172.8</v>
      </c>
      <c r="CJ49" s="2">
        <v>167</v>
      </c>
      <c r="CK49" s="2">
        <v>172.2</v>
      </c>
      <c r="CL49" s="2">
        <v>164</v>
      </c>
      <c r="CM49" s="2">
        <v>174</v>
      </c>
      <c r="CN49" s="2">
        <v>162.6</v>
      </c>
      <c r="CO49" s="2">
        <v>164.4</v>
      </c>
      <c r="CP49" s="2">
        <v>166.9</v>
      </c>
      <c r="CQ49" s="2">
        <v>168.8</v>
      </c>
      <c r="CR49" s="2">
        <v>166.8</v>
      </c>
      <c r="CS49" s="2">
        <v>170.33076923076925</v>
      </c>
      <c r="CT49" s="2">
        <v>179.15</v>
      </c>
      <c r="CU49" s="2">
        <v>165.5</v>
      </c>
      <c r="CV49" s="2">
        <v>171.4</v>
      </c>
      <c r="CW49" s="2">
        <v>171.06666666666669</v>
      </c>
      <c r="CX49" s="2">
        <v>170.1</v>
      </c>
      <c r="CY49" s="1">
        <v>1.4311270125223648E-2</v>
      </c>
      <c r="CZ49">
        <f>VLOOKUP(BR49,'OIL PRICE'!$A$1:$B$27,2,0)</f>
        <v>102.97</v>
      </c>
    </row>
    <row r="50" spans="1:104" x14ac:dyDescent="0.25">
      <c r="A50" t="s">
        <v>30</v>
      </c>
      <c r="B50">
        <v>2014</v>
      </c>
      <c r="C50" t="s">
        <v>37</v>
      </c>
      <c r="D50" s="2">
        <v>120.3</v>
      </c>
      <c r="E50" s="2">
        <v>120.2</v>
      </c>
      <c r="F50" s="2">
        <v>116.9</v>
      </c>
      <c r="G50" s="2">
        <v>118</v>
      </c>
      <c r="H50" s="2">
        <v>110.1</v>
      </c>
      <c r="I50" s="2">
        <v>126.3</v>
      </c>
      <c r="J50" s="2">
        <v>123.9</v>
      </c>
      <c r="K50" s="2">
        <v>111.5</v>
      </c>
      <c r="L50" s="2">
        <v>103.5</v>
      </c>
      <c r="M50" s="2">
        <v>111.6</v>
      </c>
      <c r="N50" s="2">
        <v>114.2</v>
      </c>
      <c r="O50" s="2">
        <v>119.2</v>
      </c>
      <c r="P50" s="2">
        <v>118.2</v>
      </c>
      <c r="Q50" s="2">
        <v>116.3</v>
      </c>
      <c r="R50" s="2">
        <v>118.7</v>
      </c>
      <c r="S50" s="2">
        <v>116.8</v>
      </c>
      <c r="T50" s="2">
        <v>118.5</v>
      </c>
      <c r="U50" s="2">
        <v>0</v>
      </c>
      <c r="V50" s="2">
        <v>113.4</v>
      </c>
      <c r="W50" s="2">
        <v>114.1</v>
      </c>
      <c r="X50" s="2">
        <v>112.1</v>
      </c>
      <c r="Y50" s="2">
        <v>111.4</v>
      </c>
      <c r="Z50" s="2">
        <v>110.9</v>
      </c>
      <c r="AA50" s="2">
        <v>113.1</v>
      </c>
      <c r="AB50" s="2">
        <v>108.9</v>
      </c>
      <c r="AC50" s="2">
        <v>111.8</v>
      </c>
      <c r="AD50" s="2">
        <f>AVERAGE(All_India_Index_Upto_April23_CPI_data[[#This Row],[Cereals and products]:[Food and beverages]])</f>
        <v>116.45384615384614</v>
      </c>
      <c r="AE50" s="2">
        <f>AVERAGE(All_India_Index_Upto_April23_CPI_data[[#This Row],[Recreation and amusement]],All_India_Index_Upto_April23_CPI_data[[#This Row],[Pan, tobacco and intoxicants]])</f>
        <v>113.6</v>
      </c>
      <c r="AF50" s="2">
        <f>AVERAGE(All_India_Index_Upto_April23_CPI_data[[#This Row],[Household goods and services]],All_India_Index_Upto_April23_CPI_data[[#This Row],[Housing]])</f>
        <v>57.05</v>
      </c>
      <c r="AG50" s="2">
        <f>AVERAGE(All_India_Index_Upto_April23_CPI_data[[#This Row],[Personal care and effects]],All_India_Index_Upto_April23_CPI_data[[#This Row],[Health]])</f>
        <v>110.5</v>
      </c>
      <c r="AH50" s="2">
        <f>AVERAGE(All_India_Index_Upto_April23_CPI_data[[#This Row],[Clothing]:[Clothing and footwear]])</f>
        <v>118</v>
      </c>
      <c r="AI50" s="2">
        <v>116</v>
      </c>
      <c r="AJ50" s="1">
        <f>(All_India_Index_Upto_April23_CPI_data[[#This Row],[General index]]-AI47)/AI47</f>
        <v>5.1993067590987369E-3</v>
      </c>
      <c r="BH50" s="2"/>
      <c r="BI50" s="2"/>
      <c r="BJ50" s="2"/>
      <c r="BK50" s="2"/>
      <c r="BL50" s="2"/>
      <c r="BM50" s="2"/>
      <c r="BN50" s="2"/>
      <c r="BO50" t="s">
        <v>30</v>
      </c>
      <c r="BP50">
        <v>2022</v>
      </c>
      <c r="BQ50" t="s">
        <v>37</v>
      </c>
      <c r="BR50" s="11">
        <f t="shared" si="0"/>
        <v>44682</v>
      </c>
      <c r="BS50" s="2">
        <v>152.9</v>
      </c>
      <c r="BT50" s="2">
        <v>214.7</v>
      </c>
      <c r="BU50" s="2">
        <v>161.4</v>
      </c>
      <c r="BV50" s="2">
        <v>164.6</v>
      </c>
      <c r="BW50" s="2">
        <v>209.9</v>
      </c>
      <c r="BX50" s="2">
        <v>168</v>
      </c>
      <c r="BY50" s="2">
        <v>160.4</v>
      </c>
      <c r="BZ50" s="2">
        <v>165</v>
      </c>
      <c r="CA50" s="2">
        <v>118.9</v>
      </c>
      <c r="CB50" s="2">
        <v>186.6</v>
      </c>
      <c r="CC50" s="2">
        <v>173.2</v>
      </c>
      <c r="CD50" s="2">
        <v>180.4</v>
      </c>
      <c r="CE50" s="2">
        <v>170.8</v>
      </c>
      <c r="CF50" s="2">
        <v>192.9</v>
      </c>
      <c r="CG50" s="2">
        <v>179.3</v>
      </c>
      <c r="CH50" s="2">
        <v>177.2</v>
      </c>
      <c r="CI50" s="2">
        <v>179</v>
      </c>
      <c r="CJ50" s="2">
        <v>0</v>
      </c>
      <c r="CK50" s="2">
        <v>175.3</v>
      </c>
      <c r="CL50" s="2">
        <v>168.9</v>
      </c>
      <c r="CM50" s="2">
        <v>177.7</v>
      </c>
      <c r="CN50" s="2">
        <v>167.1</v>
      </c>
      <c r="CO50" s="2">
        <v>167.6</v>
      </c>
      <c r="CP50" s="2">
        <v>171.8</v>
      </c>
      <c r="CQ50" s="2">
        <v>168.5</v>
      </c>
      <c r="CR50" s="2">
        <v>170.9</v>
      </c>
      <c r="CS50" s="2">
        <v>171.2923076923077</v>
      </c>
      <c r="CT50" s="2">
        <v>180.25</v>
      </c>
      <c r="CU50" s="2">
        <v>84.45</v>
      </c>
      <c r="CV50" s="2">
        <v>173.1</v>
      </c>
      <c r="CW50" s="2">
        <v>178.5</v>
      </c>
      <c r="CX50" s="2">
        <v>172.5</v>
      </c>
      <c r="CY50" s="1">
        <v>9.9531615925057878E-3</v>
      </c>
      <c r="CZ50">
        <f>VLOOKUP(BR50,'OIL PRICE'!$A$1:$B$27,2,0)</f>
        <v>109.51</v>
      </c>
    </row>
    <row r="51" spans="1:104" x14ac:dyDescent="0.25">
      <c r="A51" t="s">
        <v>32</v>
      </c>
      <c r="B51">
        <v>2014</v>
      </c>
      <c r="C51" t="s">
        <v>37</v>
      </c>
      <c r="D51" s="2">
        <v>122.7</v>
      </c>
      <c r="E51" s="2">
        <v>124.1</v>
      </c>
      <c r="F51" s="2">
        <v>114.2</v>
      </c>
      <c r="G51" s="2">
        <v>119.1</v>
      </c>
      <c r="H51" s="2">
        <v>103.5</v>
      </c>
      <c r="I51" s="2">
        <v>129.19999999999999</v>
      </c>
      <c r="J51" s="2">
        <v>127</v>
      </c>
      <c r="K51" s="2">
        <v>112.6</v>
      </c>
      <c r="L51" s="2">
        <v>101.3</v>
      </c>
      <c r="M51" s="2">
        <v>117</v>
      </c>
      <c r="N51" s="2">
        <v>112.9</v>
      </c>
      <c r="O51" s="2">
        <v>121.7</v>
      </c>
      <c r="P51" s="2">
        <v>120</v>
      </c>
      <c r="Q51" s="2">
        <v>118.3</v>
      </c>
      <c r="R51" s="2">
        <v>116.8</v>
      </c>
      <c r="S51" s="2">
        <v>112.9</v>
      </c>
      <c r="T51" s="2">
        <v>116.2</v>
      </c>
      <c r="U51" s="2">
        <v>114.3</v>
      </c>
      <c r="V51" s="2">
        <v>111.1</v>
      </c>
      <c r="W51" s="2">
        <v>114.1</v>
      </c>
      <c r="X51" s="2">
        <v>111.2</v>
      </c>
      <c r="Y51" s="2">
        <v>111.3</v>
      </c>
      <c r="Z51" s="2">
        <v>111.5</v>
      </c>
      <c r="AA51" s="2">
        <v>112.9</v>
      </c>
      <c r="AB51" s="2">
        <v>109.3</v>
      </c>
      <c r="AC51" s="2">
        <v>111.7</v>
      </c>
      <c r="AD51" s="2">
        <f>AVERAGE(All_India_Index_Upto_April23_CPI_data[[#This Row],[Cereals and products]:[Food and beverages]])</f>
        <v>117.33076923076925</v>
      </c>
      <c r="AE51" s="2">
        <f>AVERAGE(All_India_Index_Upto_April23_CPI_data[[#This Row],[Recreation and amusement]],All_India_Index_Upto_April23_CPI_data[[#This Row],[Pan, tobacco and intoxicants]])</f>
        <v>114.9</v>
      </c>
      <c r="AF51" s="2">
        <f>AVERAGE(All_India_Index_Upto_April23_CPI_data[[#This Row],[Household goods and services]],All_India_Index_Upto_April23_CPI_data[[#This Row],[Housing]])</f>
        <v>114.19999999999999</v>
      </c>
      <c r="AG51" s="2">
        <f>AVERAGE(All_India_Index_Upto_April23_CPI_data[[#This Row],[Personal care and effects]],All_India_Index_Upto_April23_CPI_data[[#This Row],[Health]])</f>
        <v>110.25</v>
      </c>
      <c r="AH51" s="2">
        <f>AVERAGE(All_India_Index_Upto_April23_CPI_data[[#This Row],[Clothing]:[Clothing and footwear]])</f>
        <v>115.3</v>
      </c>
      <c r="AI51" s="2">
        <v>115.6</v>
      </c>
      <c r="AJ51" s="1">
        <f>(All_India_Index_Upto_April23_CPI_data[[#This Row],[General index]]-AI48)/AI48</f>
        <v>7.8465562336529331E-3</v>
      </c>
      <c r="BH51" s="2"/>
      <c r="BI51" s="2"/>
      <c r="BJ51" s="2"/>
      <c r="BK51" s="2"/>
      <c r="BL51" s="2"/>
      <c r="BM51" s="2"/>
      <c r="BN51" s="2"/>
      <c r="BO51" t="s">
        <v>32</v>
      </c>
      <c r="BP51">
        <v>2022</v>
      </c>
      <c r="BQ51" t="s">
        <v>37</v>
      </c>
      <c r="BR51" s="11">
        <f t="shared" si="0"/>
        <v>44682</v>
      </c>
      <c r="BS51" s="2">
        <v>156.69999999999999</v>
      </c>
      <c r="BT51" s="2">
        <v>221.2</v>
      </c>
      <c r="BU51" s="2">
        <v>164.1</v>
      </c>
      <c r="BV51" s="2">
        <v>165.4</v>
      </c>
      <c r="BW51" s="2">
        <v>189.5</v>
      </c>
      <c r="BX51" s="2">
        <v>174.5</v>
      </c>
      <c r="BY51" s="2">
        <v>203.2</v>
      </c>
      <c r="BZ51" s="2">
        <v>164.1</v>
      </c>
      <c r="CA51" s="2">
        <v>121.2</v>
      </c>
      <c r="CB51" s="2">
        <v>181.4</v>
      </c>
      <c r="CC51" s="2">
        <v>158.5</v>
      </c>
      <c r="CD51" s="2">
        <v>184.9</v>
      </c>
      <c r="CE51" s="2">
        <v>177.5</v>
      </c>
      <c r="CF51" s="2">
        <v>197.5</v>
      </c>
      <c r="CG51" s="2">
        <v>170</v>
      </c>
      <c r="CH51" s="2">
        <v>155.9</v>
      </c>
      <c r="CI51" s="2">
        <v>167.8</v>
      </c>
      <c r="CJ51" s="2">
        <v>167.5</v>
      </c>
      <c r="CK51" s="2">
        <v>173.5</v>
      </c>
      <c r="CL51" s="2">
        <v>161.1</v>
      </c>
      <c r="CM51" s="2">
        <v>170.1</v>
      </c>
      <c r="CN51" s="2">
        <v>159.4</v>
      </c>
      <c r="CO51" s="2">
        <v>163.19999999999999</v>
      </c>
      <c r="CP51" s="2">
        <v>165.2</v>
      </c>
      <c r="CQ51" s="2">
        <v>168.2</v>
      </c>
      <c r="CR51" s="2">
        <v>163.80000000000001</v>
      </c>
      <c r="CS51" s="2">
        <v>174.01538461538465</v>
      </c>
      <c r="CT51" s="2">
        <v>180.35</v>
      </c>
      <c r="CU51" s="2">
        <v>164.3</v>
      </c>
      <c r="CV51" s="2">
        <v>169.14999999999998</v>
      </c>
      <c r="CW51" s="2">
        <v>164.56666666666666</v>
      </c>
      <c r="CX51" s="2">
        <v>170.8</v>
      </c>
      <c r="CY51" s="1">
        <v>9.4562647754138467E-3</v>
      </c>
      <c r="CZ51">
        <f>VLOOKUP(BR51,'OIL PRICE'!$A$1:$B$27,2,0)</f>
        <v>109.51</v>
      </c>
    </row>
    <row r="52" spans="1:104" x14ac:dyDescent="0.25">
      <c r="A52" t="s">
        <v>33</v>
      </c>
      <c r="B52">
        <v>2014</v>
      </c>
      <c r="C52" t="s">
        <v>37</v>
      </c>
      <c r="D52" s="2">
        <v>121.1</v>
      </c>
      <c r="E52" s="2">
        <v>121.6</v>
      </c>
      <c r="F52" s="2">
        <v>115.9</v>
      </c>
      <c r="G52" s="2">
        <v>118.4</v>
      </c>
      <c r="H52" s="2">
        <v>107.7</v>
      </c>
      <c r="I52" s="2">
        <v>127.7</v>
      </c>
      <c r="J52" s="2">
        <v>125</v>
      </c>
      <c r="K52" s="2">
        <v>111.9</v>
      </c>
      <c r="L52" s="2">
        <v>102.8</v>
      </c>
      <c r="M52" s="2">
        <v>113.4</v>
      </c>
      <c r="N52" s="2">
        <v>113.7</v>
      </c>
      <c r="O52" s="2">
        <v>120.4</v>
      </c>
      <c r="P52" s="2">
        <v>118.9</v>
      </c>
      <c r="Q52" s="2">
        <v>116.8</v>
      </c>
      <c r="R52" s="2">
        <v>118</v>
      </c>
      <c r="S52" s="2">
        <v>115.2</v>
      </c>
      <c r="T52" s="2">
        <v>117.6</v>
      </c>
      <c r="U52" s="2">
        <v>114.3</v>
      </c>
      <c r="V52" s="2">
        <v>112.5</v>
      </c>
      <c r="W52" s="2">
        <v>114.1</v>
      </c>
      <c r="X52" s="2">
        <v>111.8</v>
      </c>
      <c r="Y52" s="2">
        <v>111.3</v>
      </c>
      <c r="Z52" s="2">
        <v>111.2</v>
      </c>
      <c r="AA52" s="2">
        <v>113</v>
      </c>
      <c r="AB52" s="2">
        <v>109.1</v>
      </c>
      <c r="AC52" s="2">
        <v>111.8</v>
      </c>
      <c r="AD52" s="2">
        <f>AVERAGE(All_India_Index_Upto_April23_CPI_data[[#This Row],[Cereals and products]:[Food and beverages]])</f>
        <v>116.80769230769235</v>
      </c>
      <c r="AE52" s="2">
        <f>AVERAGE(All_India_Index_Upto_April23_CPI_data[[#This Row],[Recreation and amusement]],All_India_Index_Upto_April23_CPI_data[[#This Row],[Pan, tobacco and intoxicants]])</f>
        <v>114</v>
      </c>
      <c r="AF52" s="2">
        <f>AVERAGE(All_India_Index_Upto_April23_CPI_data[[#This Row],[Household goods and services]],All_India_Index_Upto_April23_CPI_data[[#This Row],[Housing]])</f>
        <v>114.19999999999999</v>
      </c>
      <c r="AG52" s="2">
        <f>AVERAGE(All_India_Index_Upto_April23_CPI_data[[#This Row],[Personal care and effects]],All_India_Index_Upto_April23_CPI_data[[#This Row],[Health]])</f>
        <v>110.44999999999999</v>
      </c>
      <c r="AH52" s="2">
        <f>AVERAGE(All_India_Index_Upto_April23_CPI_data[[#This Row],[Clothing]:[Clothing and footwear]])</f>
        <v>116.93333333333332</v>
      </c>
      <c r="AI52" s="2">
        <v>115.8</v>
      </c>
      <c r="AJ52" s="1">
        <f>(All_India_Index_Upto_April23_CPI_data[[#This Row],[General index]]-AI49)/AI49</f>
        <v>6.0816681146829091E-3</v>
      </c>
      <c r="BH52" s="2"/>
      <c r="BI52" s="2"/>
      <c r="BJ52" s="2"/>
      <c r="BK52" s="2"/>
      <c r="BL52" s="2"/>
      <c r="BM52" s="2"/>
      <c r="BN52" s="2"/>
      <c r="BO52" t="s">
        <v>33</v>
      </c>
      <c r="BP52">
        <v>2022</v>
      </c>
      <c r="BQ52" t="s">
        <v>37</v>
      </c>
      <c r="BR52" s="11">
        <f t="shared" si="0"/>
        <v>44682</v>
      </c>
      <c r="BS52" s="2">
        <v>154.1</v>
      </c>
      <c r="BT52" s="2">
        <v>217</v>
      </c>
      <c r="BU52" s="2">
        <v>162.4</v>
      </c>
      <c r="BV52" s="2">
        <v>164.9</v>
      </c>
      <c r="BW52" s="2">
        <v>202.4</v>
      </c>
      <c r="BX52" s="2">
        <v>171</v>
      </c>
      <c r="BY52" s="2">
        <v>174.9</v>
      </c>
      <c r="BZ52" s="2">
        <v>164.7</v>
      </c>
      <c r="CA52" s="2">
        <v>119.7</v>
      </c>
      <c r="CB52" s="2">
        <v>184.9</v>
      </c>
      <c r="CC52" s="2">
        <v>167.1</v>
      </c>
      <c r="CD52" s="2">
        <v>182.5</v>
      </c>
      <c r="CE52" s="2">
        <v>173.3</v>
      </c>
      <c r="CF52" s="2">
        <v>194.1</v>
      </c>
      <c r="CG52" s="2">
        <v>175.6</v>
      </c>
      <c r="CH52" s="2">
        <v>168.4</v>
      </c>
      <c r="CI52" s="2">
        <v>174.6</v>
      </c>
      <c r="CJ52" s="2">
        <v>167.5</v>
      </c>
      <c r="CK52" s="2">
        <v>174.6</v>
      </c>
      <c r="CL52" s="2">
        <v>165.2</v>
      </c>
      <c r="CM52" s="2">
        <v>174.8</v>
      </c>
      <c r="CN52" s="2">
        <v>163</v>
      </c>
      <c r="CO52" s="2">
        <v>165.1</v>
      </c>
      <c r="CP52" s="2">
        <v>167.9</v>
      </c>
      <c r="CQ52" s="2">
        <v>168.4</v>
      </c>
      <c r="CR52" s="2">
        <v>167.5</v>
      </c>
      <c r="CS52" s="2">
        <v>172.22307692307697</v>
      </c>
      <c r="CT52" s="2">
        <v>179.6</v>
      </c>
      <c r="CU52" s="2">
        <v>166.35</v>
      </c>
      <c r="CV52" s="2">
        <v>171.60000000000002</v>
      </c>
      <c r="CW52" s="2">
        <v>172.86666666666667</v>
      </c>
      <c r="CX52" s="2">
        <v>171.7</v>
      </c>
      <c r="CY52" s="1">
        <v>9.4062316284538178E-3</v>
      </c>
      <c r="CZ52">
        <f>VLOOKUP(BR52,'OIL PRICE'!$A$1:$B$27,2,0)</f>
        <v>109.51</v>
      </c>
    </row>
    <row r="53" spans="1:104" x14ac:dyDescent="0.25">
      <c r="A53" t="s">
        <v>30</v>
      </c>
      <c r="B53">
        <v>2014</v>
      </c>
      <c r="C53" t="s">
        <v>38</v>
      </c>
      <c r="D53" s="2">
        <v>120.7</v>
      </c>
      <c r="E53" s="2">
        <v>121.6</v>
      </c>
      <c r="F53" s="2">
        <v>116.1</v>
      </c>
      <c r="G53" s="2">
        <v>119.3</v>
      </c>
      <c r="H53" s="2">
        <v>110.3</v>
      </c>
      <c r="I53" s="2">
        <v>125.8</v>
      </c>
      <c r="J53" s="2">
        <v>129.30000000000001</v>
      </c>
      <c r="K53" s="2">
        <v>112.2</v>
      </c>
      <c r="L53" s="2">
        <v>103.6</v>
      </c>
      <c r="M53" s="2">
        <v>112.3</v>
      </c>
      <c r="N53" s="2">
        <v>114.9</v>
      </c>
      <c r="O53" s="2">
        <v>120.1</v>
      </c>
      <c r="P53" s="2">
        <v>119.5</v>
      </c>
      <c r="Q53" s="2">
        <v>117.3</v>
      </c>
      <c r="R53" s="2">
        <v>119.7</v>
      </c>
      <c r="S53" s="2">
        <v>117.3</v>
      </c>
      <c r="T53" s="2">
        <v>119.3</v>
      </c>
      <c r="U53" s="2">
        <v>0</v>
      </c>
      <c r="V53" s="2">
        <v>114.4</v>
      </c>
      <c r="W53" s="2">
        <v>114.9</v>
      </c>
      <c r="X53" s="2">
        <v>112.8</v>
      </c>
      <c r="Y53" s="2">
        <v>112.2</v>
      </c>
      <c r="Z53" s="2">
        <v>111.4</v>
      </c>
      <c r="AA53" s="2">
        <v>114.3</v>
      </c>
      <c r="AB53" s="2">
        <v>108</v>
      </c>
      <c r="AC53" s="2">
        <v>112.3</v>
      </c>
      <c r="AD53" s="2">
        <f>AVERAGE(All_India_Index_Upto_April23_CPI_data[[#This Row],[Cereals and products]:[Food and beverages]])</f>
        <v>117.36153846153844</v>
      </c>
      <c r="AE53" s="2">
        <f>AVERAGE(All_India_Index_Upto_April23_CPI_data[[#This Row],[Recreation and amusement]],All_India_Index_Upto_April23_CPI_data[[#This Row],[Pan, tobacco and intoxicants]])</f>
        <v>114.35</v>
      </c>
      <c r="AF53" s="2">
        <f>AVERAGE(All_India_Index_Upto_April23_CPI_data[[#This Row],[Household goods and services]],All_India_Index_Upto_April23_CPI_data[[#This Row],[Housing]])</f>
        <v>57.45</v>
      </c>
      <c r="AG53" s="2">
        <f>AVERAGE(All_India_Index_Upto_April23_CPI_data[[#This Row],[Personal care and effects]],All_India_Index_Upto_April23_CPI_data[[#This Row],[Health]])</f>
        <v>110.4</v>
      </c>
      <c r="AH53" s="2">
        <f>AVERAGE(All_India_Index_Upto_April23_CPI_data[[#This Row],[Clothing]:[Clothing and footwear]])</f>
        <v>118.76666666666667</v>
      </c>
      <c r="AI53" s="2">
        <v>117</v>
      </c>
      <c r="AJ53" s="1">
        <f>(All_India_Index_Upto_April23_CPI_data[[#This Row],[General index]]-AI50)/AI50</f>
        <v>8.6206896551724137E-3</v>
      </c>
      <c r="BO53" t="s">
        <v>30</v>
      </c>
      <c r="BP53">
        <v>2022</v>
      </c>
      <c r="BQ53" t="s">
        <v>38</v>
      </c>
      <c r="BR53" s="11">
        <f t="shared" si="0"/>
        <v>44713</v>
      </c>
      <c r="BS53" s="2">
        <v>153.80000000000001</v>
      </c>
      <c r="BT53" s="2">
        <v>217.2</v>
      </c>
      <c r="BU53" s="2">
        <v>169.6</v>
      </c>
      <c r="BV53" s="2">
        <v>165.4</v>
      </c>
      <c r="BW53" s="2">
        <v>208.1</v>
      </c>
      <c r="BX53" s="2">
        <v>165.8</v>
      </c>
      <c r="BY53" s="2">
        <v>167.3</v>
      </c>
      <c r="BZ53" s="2">
        <v>164.6</v>
      </c>
      <c r="CA53" s="2">
        <v>119.1</v>
      </c>
      <c r="CB53" s="2">
        <v>188.9</v>
      </c>
      <c r="CC53" s="2">
        <v>174.2</v>
      </c>
      <c r="CD53" s="2">
        <v>181.9</v>
      </c>
      <c r="CE53" s="2">
        <v>172.4</v>
      </c>
      <c r="CF53" s="2">
        <v>192.9</v>
      </c>
      <c r="CG53" s="2">
        <v>180.7</v>
      </c>
      <c r="CH53" s="2">
        <v>178.7</v>
      </c>
      <c r="CI53" s="2">
        <v>180.4</v>
      </c>
      <c r="CJ53" s="2">
        <v>0</v>
      </c>
      <c r="CK53" s="2">
        <v>176.7</v>
      </c>
      <c r="CL53" s="2">
        <v>170.3</v>
      </c>
      <c r="CM53" s="2">
        <v>178.2</v>
      </c>
      <c r="CN53" s="2">
        <v>165.5</v>
      </c>
      <c r="CO53" s="2">
        <v>168</v>
      </c>
      <c r="CP53" s="2">
        <v>172.6</v>
      </c>
      <c r="CQ53" s="2">
        <v>169.5</v>
      </c>
      <c r="CR53" s="2">
        <v>171</v>
      </c>
      <c r="CS53" s="2">
        <v>172.94615384615386</v>
      </c>
      <c r="CT53" s="2">
        <v>180.45</v>
      </c>
      <c r="CU53" s="2">
        <v>85.15</v>
      </c>
      <c r="CV53" s="2">
        <v>173.85</v>
      </c>
      <c r="CW53" s="2">
        <v>179.93333333333331</v>
      </c>
      <c r="CX53" s="2">
        <v>173.6</v>
      </c>
      <c r="CY53" s="1">
        <v>6.3768115942028653E-3</v>
      </c>
      <c r="CZ53">
        <f>VLOOKUP(BR53,'OIL PRICE'!$A$1:$B$27,2,0)</f>
        <v>116.01</v>
      </c>
    </row>
    <row r="54" spans="1:104" x14ac:dyDescent="0.25">
      <c r="A54" t="s">
        <v>32</v>
      </c>
      <c r="B54">
        <v>2014</v>
      </c>
      <c r="C54" t="s">
        <v>38</v>
      </c>
      <c r="D54" s="2">
        <v>123.1</v>
      </c>
      <c r="E54" s="2">
        <v>125.9</v>
      </c>
      <c r="F54" s="2">
        <v>115.4</v>
      </c>
      <c r="G54" s="2">
        <v>120.4</v>
      </c>
      <c r="H54" s="2">
        <v>103.4</v>
      </c>
      <c r="I54" s="2">
        <v>131.19999999999999</v>
      </c>
      <c r="J54" s="2">
        <v>137.5</v>
      </c>
      <c r="K54" s="2">
        <v>112.8</v>
      </c>
      <c r="L54" s="2">
        <v>101.4</v>
      </c>
      <c r="M54" s="2">
        <v>118.3</v>
      </c>
      <c r="N54" s="2">
        <v>113.2</v>
      </c>
      <c r="O54" s="2">
        <v>122.4</v>
      </c>
      <c r="P54" s="2">
        <v>122</v>
      </c>
      <c r="Q54" s="2">
        <v>119</v>
      </c>
      <c r="R54" s="2">
        <v>117.4</v>
      </c>
      <c r="S54" s="2">
        <v>113.2</v>
      </c>
      <c r="T54" s="2">
        <v>116.7</v>
      </c>
      <c r="U54" s="2">
        <v>113.9</v>
      </c>
      <c r="V54" s="2">
        <v>111.2</v>
      </c>
      <c r="W54" s="2">
        <v>114.3</v>
      </c>
      <c r="X54" s="2">
        <v>111.4</v>
      </c>
      <c r="Y54" s="2">
        <v>111.5</v>
      </c>
      <c r="Z54" s="2">
        <v>111.8</v>
      </c>
      <c r="AA54" s="2">
        <v>115.1</v>
      </c>
      <c r="AB54" s="2">
        <v>108.7</v>
      </c>
      <c r="AC54" s="2">
        <v>112.2</v>
      </c>
      <c r="AD54" s="2">
        <f>AVERAGE(All_India_Index_Upto_April23_CPI_data[[#This Row],[Cereals and products]:[Food and beverages]])</f>
        <v>119</v>
      </c>
      <c r="AE54" s="2">
        <f>AVERAGE(All_India_Index_Upto_April23_CPI_data[[#This Row],[Recreation and amusement]],All_India_Index_Upto_April23_CPI_data[[#This Row],[Pan, tobacco and intoxicants]])</f>
        <v>115.4</v>
      </c>
      <c r="AF54" s="2">
        <f>AVERAGE(All_India_Index_Upto_April23_CPI_data[[#This Row],[Household goods and services]],All_India_Index_Upto_April23_CPI_data[[#This Row],[Housing]])</f>
        <v>114.1</v>
      </c>
      <c r="AG54" s="2">
        <f>AVERAGE(All_India_Index_Upto_April23_CPI_data[[#This Row],[Personal care and effects]],All_India_Index_Upto_April23_CPI_data[[#This Row],[Health]])</f>
        <v>110.05000000000001</v>
      </c>
      <c r="AH54" s="2">
        <f>AVERAGE(All_India_Index_Upto_April23_CPI_data[[#This Row],[Clothing]:[Clothing and footwear]])</f>
        <v>115.76666666666667</v>
      </c>
      <c r="AI54" s="2">
        <v>116.4</v>
      </c>
      <c r="AJ54" s="1">
        <f>(All_India_Index_Upto_April23_CPI_data[[#This Row],[General index]]-AI51)/AI51</f>
        <v>6.9204152249135939E-3</v>
      </c>
      <c r="BO54" t="s">
        <v>32</v>
      </c>
      <c r="BP54">
        <v>2022</v>
      </c>
      <c r="BQ54" t="s">
        <v>38</v>
      </c>
      <c r="BR54" s="11">
        <f t="shared" si="0"/>
        <v>44713</v>
      </c>
      <c r="BS54" s="2">
        <v>157.5</v>
      </c>
      <c r="BT54" s="2">
        <v>223.4</v>
      </c>
      <c r="BU54" s="2">
        <v>172.8</v>
      </c>
      <c r="BV54" s="2">
        <v>166.4</v>
      </c>
      <c r="BW54" s="2">
        <v>188.6</v>
      </c>
      <c r="BX54" s="2">
        <v>174.1</v>
      </c>
      <c r="BY54" s="2">
        <v>211.5</v>
      </c>
      <c r="BZ54" s="2">
        <v>163.6</v>
      </c>
      <c r="CA54" s="2">
        <v>121.4</v>
      </c>
      <c r="CB54" s="2">
        <v>183.5</v>
      </c>
      <c r="CC54" s="2">
        <v>159.1</v>
      </c>
      <c r="CD54" s="2">
        <v>186.3</v>
      </c>
      <c r="CE54" s="2">
        <v>179.3</v>
      </c>
      <c r="CF54" s="2">
        <v>198.3</v>
      </c>
      <c r="CG54" s="2">
        <v>171.6</v>
      </c>
      <c r="CH54" s="2">
        <v>157.4</v>
      </c>
      <c r="CI54" s="2">
        <v>169.4</v>
      </c>
      <c r="CJ54" s="2">
        <v>166.8</v>
      </c>
      <c r="CK54" s="2">
        <v>174.9</v>
      </c>
      <c r="CL54" s="2">
        <v>162.1</v>
      </c>
      <c r="CM54" s="2">
        <v>170.9</v>
      </c>
      <c r="CN54" s="2">
        <v>157.19999999999999</v>
      </c>
      <c r="CO54" s="2">
        <v>164.1</v>
      </c>
      <c r="CP54" s="2">
        <v>166.5</v>
      </c>
      <c r="CQ54" s="2">
        <v>169.2</v>
      </c>
      <c r="CR54" s="2">
        <v>163.80000000000001</v>
      </c>
      <c r="CS54" s="2">
        <v>175.96153846153845</v>
      </c>
      <c r="CT54" s="2">
        <v>181.2</v>
      </c>
      <c r="CU54" s="2">
        <v>164.45</v>
      </c>
      <c r="CV54" s="2">
        <v>170.05</v>
      </c>
      <c r="CW54" s="2">
        <v>166.13333333333333</v>
      </c>
      <c r="CX54" s="2">
        <v>171.4</v>
      </c>
      <c r="CY54" s="1">
        <v>3.5128805620608565E-3</v>
      </c>
      <c r="CZ54">
        <f>VLOOKUP(BR54,'OIL PRICE'!$A$1:$B$27,2,0)</f>
        <v>116.01</v>
      </c>
    </row>
    <row r="55" spans="1:104" x14ac:dyDescent="0.25">
      <c r="A55" t="s">
        <v>33</v>
      </c>
      <c r="B55">
        <v>2014</v>
      </c>
      <c r="C55" t="s">
        <v>38</v>
      </c>
      <c r="D55" s="2">
        <v>121.5</v>
      </c>
      <c r="E55" s="2">
        <v>123.1</v>
      </c>
      <c r="F55" s="2">
        <v>115.8</v>
      </c>
      <c r="G55" s="2">
        <v>119.7</v>
      </c>
      <c r="H55" s="2">
        <v>107.8</v>
      </c>
      <c r="I55" s="2">
        <v>128.30000000000001</v>
      </c>
      <c r="J55" s="2">
        <v>132.1</v>
      </c>
      <c r="K55" s="2">
        <v>112.4</v>
      </c>
      <c r="L55" s="2">
        <v>102.9</v>
      </c>
      <c r="M55" s="2">
        <v>114.3</v>
      </c>
      <c r="N55" s="2">
        <v>114.2</v>
      </c>
      <c r="O55" s="2">
        <v>121.2</v>
      </c>
      <c r="P55" s="2">
        <v>120.4</v>
      </c>
      <c r="Q55" s="2">
        <v>117.8</v>
      </c>
      <c r="R55" s="2">
        <v>118.8</v>
      </c>
      <c r="S55" s="2">
        <v>115.6</v>
      </c>
      <c r="T55" s="2">
        <v>118.3</v>
      </c>
      <c r="U55" s="2">
        <v>113.9</v>
      </c>
      <c r="V55" s="2">
        <v>113.2</v>
      </c>
      <c r="W55" s="2">
        <v>114.6</v>
      </c>
      <c r="X55" s="2">
        <v>112.3</v>
      </c>
      <c r="Y55" s="2">
        <v>111.8</v>
      </c>
      <c r="Z55" s="2">
        <v>111.6</v>
      </c>
      <c r="AA55" s="2">
        <v>114.8</v>
      </c>
      <c r="AB55" s="2">
        <v>108.3</v>
      </c>
      <c r="AC55" s="2">
        <v>112.3</v>
      </c>
      <c r="AD55" s="2">
        <f>AVERAGE(All_India_Index_Upto_April23_CPI_data[[#This Row],[Cereals and products]:[Food and beverages]])</f>
        <v>117.9769230769231</v>
      </c>
      <c r="AE55" s="2">
        <f>AVERAGE(All_India_Index_Upto_April23_CPI_data[[#This Row],[Recreation and amusement]],All_India_Index_Upto_April23_CPI_data[[#This Row],[Pan, tobacco and intoxicants]])</f>
        <v>114.69999999999999</v>
      </c>
      <c r="AF55" s="2">
        <f>AVERAGE(All_India_Index_Upto_April23_CPI_data[[#This Row],[Household goods and services]],All_India_Index_Upto_April23_CPI_data[[#This Row],[Housing]])</f>
        <v>114.25</v>
      </c>
      <c r="AG55" s="2">
        <f>AVERAGE(All_India_Index_Upto_April23_CPI_data[[#This Row],[Personal care and effects]],All_India_Index_Upto_April23_CPI_data[[#This Row],[Health]])</f>
        <v>110.3</v>
      </c>
      <c r="AH55" s="2">
        <f>AVERAGE(All_India_Index_Upto_April23_CPI_data[[#This Row],[Clothing]:[Clothing and footwear]])</f>
        <v>117.56666666666666</v>
      </c>
      <c r="AI55" s="2">
        <v>116.7</v>
      </c>
      <c r="AJ55" s="1">
        <f>(All_India_Index_Upto_April23_CPI_data[[#This Row],[General index]]-AI52)/AI52</f>
        <v>7.7720207253886503E-3</v>
      </c>
      <c r="BO55" t="s">
        <v>33</v>
      </c>
      <c r="BP55">
        <v>2022</v>
      </c>
      <c r="BQ55" t="s">
        <v>38</v>
      </c>
      <c r="BR55" s="11">
        <f t="shared" si="0"/>
        <v>44713</v>
      </c>
      <c r="BS55" s="2">
        <v>155</v>
      </c>
      <c r="BT55" s="2">
        <v>219.4</v>
      </c>
      <c r="BU55" s="2">
        <v>170.8</v>
      </c>
      <c r="BV55" s="2">
        <v>165.8</v>
      </c>
      <c r="BW55" s="2">
        <v>200.9</v>
      </c>
      <c r="BX55" s="2">
        <v>169.7</v>
      </c>
      <c r="BY55" s="2">
        <v>182.3</v>
      </c>
      <c r="BZ55" s="2">
        <v>164.3</v>
      </c>
      <c r="CA55" s="2">
        <v>119.9</v>
      </c>
      <c r="CB55" s="2">
        <v>187.1</v>
      </c>
      <c r="CC55" s="2">
        <v>167.9</v>
      </c>
      <c r="CD55" s="2">
        <v>183.9</v>
      </c>
      <c r="CE55" s="2">
        <v>174.9</v>
      </c>
      <c r="CF55" s="2">
        <v>194.3</v>
      </c>
      <c r="CG55" s="2">
        <v>177.1</v>
      </c>
      <c r="CH55" s="2">
        <v>169.9</v>
      </c>
      <c r="CI55" s="2">
        <v>176</v>
      </c>
      <c r="CJ55" s="2">
        <v>166.8</v>
      </c>
      <c r="CK55" s="2">
        <v>176</v>
      </c>
      <c r="CL55" s="2">
        <v>166.4</v>
      </c>
      <c r="CM55" s="2">
        <v>175.4</v>
      </c>
      <c r="CN55" s="2">
        <v>161.1</v>
      </c>
      <c r="CO55" s="2">
        <v>165.8</v>
      </c>
      <c r="CP55" s="2">
        <v>169</v>
      </c>
      <c r="CQ55" s="2">
        <v>169.4</v>
      </c>
      <c r="CR55" s="2">
        <v>167.5</v>
      </c>
      <c r="CS55" s="2">
        <v>173.99230769230769</v>
      </c>
      <c r="CT55" s="2">
        <v>180.05</v>
      </c>
      <c r="CU55" s="2">
        <v>166.60000000000002</v>
      </c>
      <c r="CV55" s="2">
        <v>172.4</v>
      </c>
      <c r="CW55" s="2">
        <v>174.33333333333334</v>
      </c>
      <c r="CX55" s="2">
        <v>172.6</v>
      </c>
      <c r="CY55" s="1">
        <v>5.2417006406523343E-3</v>
      </c>
      <c r="CZ55">
        <f>VLOOKUP(BR55,'OIL PRICE'!$A$1:$B$27,2,0)</f>
        <v>116.01</v>
      </c>
    </row>
    <row r="56" spans="1:104" x14ac:dyDescent="0.25">
      <c r="A56" t="s">
        <v>30</v>
      </c>
      <c r="B56">
        <v>2014</v>
      </c>
      <c r="C56" t="s">
        <v>39</v>
      </c>
      <c r="D56" s="2">
        <v>121.7</v>
      </c>
      <c r="E56" s="2">
        <v>122.5</v>
      </c>
      <c r="F56" s="2">
        <v>117.7</v>
      </c>
      <c r="G56" s="2">
        <v>120.6</v>
      </c>
      <c r="H56" s="2">
        <v>110.4</v>
      </c>
      <c r="I56" s="2">
        <v>129.1</v>
      </c>
      <c r="J56" s="2">
        <v>150.1</v>
      </c>
      <c r="K56" s="2">
        <v>113.2</v>
      </c>
      <c r="L56" s="2">
        <v>104.8</v>
      </c>
      <c r="M56" s="2">
        <v>113.3</v>
      </c>
      <c r="N56" s="2">
        <v>115.6</v>
      </c>
      <c r="O56" s="2">
        <v>120.9</v>
      </c>
      <c r="P56" s="2">
        <v>123.3</v>
      </c>
      <c r="Q56" s="2">
        <v>118</v>
      </c>
      <c r="R56" s="2">
        <v>120.7</v>
      </c>
      <c r="S56" s="2">
        <v>118.3</v>
      </c>
      <c r="T56" s="2">
        <v>120.3</v>
      </c>
      <c r="U56" s="2">
        <v>0</v>
      </c>
      <c r="V56" s="2">
        <v>115.3</v>
      </c>
      <c r="W56" s="2">
        <v>115.4</v>
      </c>
      <c r="X56" s="2">
        <v>113.4</v>
      </c>
      <c r="Y56" s="2">
        <v>113.2</v>
      </c>
      <c r="Z56" s="2">
        <v>111.8</v>
      </c>
      <c r="AA56" s="2">
        <v>115.5</v>
      </c>
      <c r="AB56" s="2">
        <v>108.8</v>
      </c>
      <c r="AC56" s="2">
        <v>113.1</v>
      </c>
      <c r="AD56" s="2">
        <f>AVERAGE(All_India_Index_Upto_April23_CPI_data[[#This Row],[Cereals and products]:[Food and beverages]])</f>
        <v>120.24615384615385</v>
      </c>
      <c r="AE56" s="2">
        <f>AVERAGE(All_India_Index_Upto_April23_CPI_data[[#This Row],[Recreation and amusement]],All_India_Index_Upto_April23_CPI_data[[#This Row],[Pan, tobacco and intoxicants]])</f>
        <v>114.9</v>
      </c>
      <c r="AF56" s="2">
        <f>AVERAGE(All_India_Index_Upto_April23_CPI_data[[#This Row],[Household goods and services]],All_India_Index_Upto_April23_CPI_data[[#This Row],[Housing]])</f>
        <v>57.7</v>
      </c>
      <c r="AG56" s="2">
        <f>AVERAGE(All_India_Index_Upto_April23_CPI_data[[#This Row],[Personal care and effects]],All_India_Index_Upto_April23_CPI_data[[#This Row],[Health]])</f>
        <v>111.1</v>
      </c>
      <c r="AH56" s="2">
        <f>AVERAGE(All_India_Index_Upto_April23_CPI_data[[#This Row],[Clothing]:[Clothing and footwear]])</f>
        <v>119.76666666666667</v>
      </c>
      <c r="AI56" s="2">
        <v>119.5</v>
      </c>
      <c r="AJ56" s="1">
        <f>(All_India_Index_Upto_April23_CPI_data[[#This Row],[General index]]-AI53)/AI53</f>
        <v>2.1367521367521368E-2</v>
      </c>
      <c r="BO56" t="s">
        <v>30</v>
      </c>
      <c r="BP56">
        <v>2022</v>
      </c>
      <c r="BQ56" t="s">
        <v>39</v>
      </c>
      <c r="BR56" s="11">
        <f t="shared" si="0"/>
        <v>44743</v>
      </c>
      <c r="BS56" s="2">
        <v>155.19999999999999</v>
      </c>
      <c r="BT56" s="2">
        <v>210.8</v>
      </c>
      <c r="BU56" s="2">
        <v>174.3</v>
      </c>
      <c r="BV56" s="2">
        <v>166.3</v>
      </c>
      <c r="BW56" s="2">
        <v>202.2</v>
      </c>
      <c r="BX56" s="2">
        <v>169.6</v>
      </c>
      <c r="BY56" s="2">
        <v>168.6</v>
      </c>
      <c r="BZ56" s="2">
        <v>164.4</v>
      </c>
      <c r="CA56" s="2">
        <v>119.2</v>
      </c>
      <c r="CB56" s="2">
        <v>191.8</v>
      </c>
      <c r="CC56" s="2">
        <v>174.5</v>
      </c>
      <c r="CD56" s="2">
        <v>183.1</v>
      </c>
      <c r="CE56" s="2">
        <v>172.5</v>
      </c>
      <c r="CF56" s="2">
        <v>193.2</v>
      </c>
      <c r="CG56" s="2">
        <v>182</v>
      </c>
      <c r="CH56" s="2">
        <v>180.3</v>
      </c>
      <c r="CI56" s="2">
        <v>181.7</v>
      </c>
      <c r="CJ56" s="2">
        <v>0</v>
      </c>
      <c r="CK56" s="2">
        <v>179.6</v>
      </c>
      <c r="CL56" s="2">
        <v>171.3</v>
      </c>
      <c r="CM56" s="2">
        <v>178.8</v>
      </c>
      <c r="CN56" s="2">
        <v>166.3</v>
      </c>
      <c r="CO56" s="2">
        <v>168.6</v>
      </c>
      <c r="CP56" s="2">
        <v>174.7</v>
      </c>
      <c r="CQ56" s="2">
        <v>169.7</v>
      </c>
      <c r="CR56" s="2">
        <v>171.8</v>
      </c>
      <c r="CS56" s="2">
        <v>173.26923076923077</v>
      </c>
      <c r="CT56" s="2">
        <v>180.89999999999998</v>
      </c>
      <c r="CU56" s="2">
        <v>85.65</v>
      </c>
      <c r="CV56" s="2">
        <v>174.25</v>
      </c>
      <c r="CW56" s="2">
        <v>181.33333333333334</v>
      </c>
      <c r="CX56" s="2">
        <v>174.3</v>
      </c>
      <c r="CY56" s="1">
        <v>4.0322580645162278E-3</v>
      </c>
      <c r="CZ56">
        <f>VLOOKUP(BR56,'OIL PRICE'!$A$1:$B$27,2,0)</f>
        <v>105.49</v>
      </c>
    </row>
    <row r="57" spans="1:104" x14ac:dyDescent="0.25">
      <c r="A57" t="s">
        <v>32</v>
      </c>
      <c r="B57">
        <v>2014</v>
      </c>
      <c r="C57" t="s">
        <v>39</v>
      </c>
      <c r="D57" s="2">
        <v>123.8</v>
      </c>
      <c r="E57" s="2">
        <v>126.4</v>
      </c>
      <c r="F57" s="2">
        <v>118</v>
      </c>
      <c r="G57" s="2">
        <v>121.6</v>
      </c>
      <c r="H57" s="2">
        <v>103.5</v>
      </c>
      <c r="I57" s="2">
        <v>133.69999999999999</v>
      </c>
      <c r="J57" s="2">
        <v>172.4</v>
      </c>
      <c r="K57" s="2">
        <v>113.1</v>
      </c>
      <c r="L57" s="2">
        <v>102.7</v>
      </c>
      <c r="M57" s="2">
        <v>120</v>
      </c>
      <c r="N57" s="2">
        <v>113.8</v>
      </c>
      <c r="O57" s="2">
        <v>123.4</v>
      </c>
      <c r="P57" s="2">
        <v>127.1</v>
      </c>
      <c r="Q57" s="2">
        <v>121</v>
      </c>
      <c r="R57" s="2">
        <v>118</v>
      </c>
      <c r="S57" s="2">
        <v>113.6</v>
      </c>
      <c r="T57" s="2">
        <v>117.4</v>
      </c>
      <c r="U57" s="2">
        <v>114.8</v>
      </c>
      <c r="V57" s="2">
        <v>111.6</v>
      </c>
      <c r="W57" s="2">
        <v>114.9</v>
      </c>
      <c r="X57" s="2">
        <v>111.5</v>
      </c>
      <c r="Y57" s="2">
        <v>113</v>
      </c>
      <c r="Z57" s="2">
        <v>112.4</v>
      </c>
      <c r="AA57" s="2">
        <v>117.8</v>
      </c>
      <c r="AB57" s="2">
        <v>109.7</v>
      </c>
      <c r="AC57" s="2">
        <v>113.5</v>
      </c>
      <c r="AD57" s="2">
        <f>AVERAGE(All_India_Index_Upto_April23_CPI_data[[#This Row],[Cereals and products]:[Food and beverages]])</f>
        <v>123.03846153846153</v>
      </c>
      <c r="AE57" s="2">
        <f>AVERAGE(All_India_Index_Upto_April23_CPI_data[[#This Row],[Recreation and amusement]],All_India_Index_Upto_April23_CPI_data[[#This Row],[Pan, tobacco and intoxicants]])</f>
        <v>116.7</v>
      </c>
      <c r="AF57" s="2">
        <f>AVERAGE(All_India_Index_Upto_April23_CPI_data[[#This Row],[Household goods and services]],All_India_Index_Upto_April23_CPI_data[[#This Row],[Housing]])</f>
        <v>114.85</v>
      </c>
      <c r="AG57" s="2">
        <f>AVERAGE(All_India_Index_Upto_April23_CPI_data[[#This Row],[Personal care and effects]],All_India_Index_Upto_April23_CPI_data[[#This Row],[Health]])</f>
        <v>110.6</v>
      </c>
      <c r="AH57" s="2">
        <f>AVERAGE(All_India_Index_Upto_April23_CPI_data[[#This Row],[Clothing]:[Clothing and footwear]])</f>
        <v>116.33333333333333</v>
      </c>
      <c r="AI57" s="2">
        <v>118.9</v>
      </c>
      <c r="AJ57" s="1">
        <f>(All_India_Index_Upto_April23_CPI_data[[#This Row],[General index]]-AI54)/AI54</f>
        <v>2.147766323024055E-2</v>
      </c>
      <c r="BO57" t="s">
        <v>32</v>
      </c>
      <c r="BP57">
        <v>2022</v>
      </c>
      <c r="BQ57" t="s">
        <v>39</v>
      </c>
      <c r="BR57" s="11">
        <f t="shared" si="0"/>
        <v>44743</v>
      </c>
      <c r="BS57" s="2">
        <v>159.30000000000001</v>
      </c>
      <c r="BT57" s="2">
        <v>217.1</v>
      </c>
      <c r="BU57" s="2">
        <v>176.6</v>
      </c>
      <c r="BV57" s="2">
        <v>167.1</v>
      </c>
      <c r="BW57" s="2">
        <v>184.8</v>
      </c>
      <c r="BX57" s="2">
        <v>179.5</v>
      </c>
      <c r="BY57" s="2">
        <v>208.5</v>
      </c>
      <c r="BZ57" s="2">
        <v>164</v>
      </c>
      <c r="CA57" s="2">
        <v>121.5</v>
      </c>
      <c r="CB57" s="2">
        <v>186.3</v>
      </c>
      <c r="CC57" s="2">
        <v>159.80000000000001</v>
      </c>
      <c r="CD57" s="2">
        <v>187.7</v>
      </c>
      <c r="CE57" s="2">
        <v>179.4</v>
      </c>
      <c r="CF57" s="2">
        <v>198.6</v>
      </c>
      <c r="CG57" s="2">
        <v>172.7</v>
      </c>
      <c r="CH57" s="2">
        <v>158.69999999999999</v>
      </c>
      <c r="CI57" s="2">
        <v>170.6</v>
      </c>
      <c r="CJ57" s="2">
        <v>167.8</v>
      </c>
      <c r="CK57" s="2">
        <v>179.5</v>
      </c>
      <c r="CL57" s="2">
        <v>163.1</v>
      </c>
      <c r="CM57" s="2">
        <v>171.7</v>
      </c>
      <c r="CN57" s="2">
        <v>157.4</v>
      </c>
      <c r="CO57" s="2">
        <v>164.6</v>
      </c>
      <c r="CP57" s="2">
        <v>169.1</v>
      </c>
      <c r="CQ57" s="2">
        <v>169.8</v>
      </c>
      <c r="CR57" s="2">
        <v>164.7</v>
      </c>
      <c r="CS57" s="2">
        <v>176.27692307692308</v>
      </c>
      <c r="CT57" s="2">
        <v>181.6</v>
      </c>
      <c r="CU57" s="2">
        <v>165.45</v>
      </c>
      <c r="CV57" s="2">
        <v>170.75</v>
      </c>
      <c r="CW57" s="2">
        <v>167.33333333333334</v>
      </c>
      <c r="CX57" s="2">
        <v>172.3</v>
      </c>
      <c r="CY57" s="1">
        <v>5.2508751458576761E-3</v>
      </c>
      <c r="CZ57">
        <f>VLOOKUP(BR57,'OIL PRICE'!$A$1:$B$27,2,0)</f>
        <v>105.49</v>
      </c>
    </row>
    <row r="58" spans="1:104" x14ac:dyDescent="0.25">
      <c r="A58" t="s">
        <v>33</v>
      </c>
      <c r="B58">
        <v>2014</v>
      </c>
      <c r="C58" t="s">
        <v>39</v>
      </c>
      <c r="D58" s="2">
        <v>122.4</v>
      </c>
      <c r="E58" s="2">
        <v>123.9</v>
      </c>
      <c r="F58" s="2">
        <v>117.8</v>
      </c>
      <c r="G58" s="2">
        <v>121</v>
      </c>
      <c r="H58" s="2">
        <v>107.9</v>
      </c>
      <c r="I58" s="2">
        <v>131.19999999999999</v>
      </c>
      <c r="J58" s="2">
        <v>157.69999999999999</v>
      </c>
      <c r="K58" s="2">
        <v>113.2</v>
      </c>
      <c r="L58" s="2">
        <v>104.1</v>
      </c>
      <c r="M58" s="2">
        <v>115.5</v>
      </c>
      <c r="N58" s="2">
        <v>114.8</v>
      </c>
      <c r="O58" s="2">
        <v>122.1</v>
      </c>
      <c r="P58" s="2">
        <v>124.7</v>
      </c>
      <c r="Q58" s="2">
        <v>118.8</v>
      </c>
      <c r="R58" s="2">
        <v>119.6</v>
      </c>
      <c r="S58" s="2">
        <v>116.3</v>
      </c>
      <c r="T58" s="2">
        <v>119.1</v>
      </c>
      <c r="U58" s="2">
        <v>114.8</v>
      </c>
      <c r="V58" s="2">
        <v>113.9</v>
      </c>
      <c r="W58" s="2">
        <v>115.2</v>
      </c>
      <c r="X58" s="2">
        <v>112.7</v>
      </c>
      <c r="Y58" s="2">
        <v>113.1</v>
      </c>
      <c r="Z58" s="2">
        <v>112.1</v>
      </c>
      <c r="AA58" s="2">
        <v>116.8</v>
      </c>
      <c r="AB58" s="2">
        <v>109.2</v>
      </c>
      <c r="AC58" s="2">
        <v>113.3</v>
      </c>
      <c r="AD58" s="2">
        <f>AVERAGE(All_India_Index_Upto_April23_CPI_data[[#This Row],[Cereals and products]:[Food and beverages]])</f>
        <v>121.25384615384615</v>
      </c>
      <c r="AE58" s="2">
        <f>AVERAGE(All_India_Index_Upto_April23_CPI_data[[#This Row],[Recreation and amusement]],All_India_Index_Upto_April23_CPI_data[[#This Row],[Pan, tobacco and intoxicants]])</f>
        <v>115.44999999999999</v>
      </c>
      <c r="AF58" s="2">
        <f>AVERAGE(All_India_Index_Upto_April23_CPI_data[[#This Row],[Household goods and services]],All_India_Index_Upto_April23_CPI_data[[#This Row],[Housing]])</f>
        <v>115</v>
      </c>
      <c r="AG58" s="2">
        <f>AVERAGE(All_India_Index_Upto_April23_CPI_data[[#This Row],[Personal care and effects]],All_India_Index_Upto_April23_CPI_data[[#This Row],[Health]])</f>
        <v>110.95</v>
      </c>
      <c r="AH58" s="2">
        <f>AVERAGE(All_India_Index_Upto_April23_CPI_data[[#This Row],[Clothing]:[Clothing and footwear]])</f>
        <v>118.33333333333333</v>
      </c>
      <c r="AI58" s="2">
        <v>119.2</v>
      </c>
      <c r="AJ58" s="1">
        <f>(All_India_Index_Upto_April23_CPI_data[[#This Row],[General index]]-AI55)/AI55</f>
        <v>2.1422450728363324E-2</v>
      </c>
      <c r="BO58" t="s">
        <v>33</v>
      </c>
      <c r="BP58">
        <v>2022</v>
      </c>
      <c r="BQ58" t="s">
        <v>39</v>
      </c>
      <c r="BR58" s="11">
        <f t="shared" si="0"/>
        <v>44743</v>
      </c>
      <c r="BS58" s="2">
        <v>156.5</v>
      </c>
      <c r="BT58" s="2">
        <v>213</v>
      </c>
      <c r="BU58" s="2">
        <v>175.2</v>
      </c>
      <c r="BV58" s="2">
        <v>166.6</v>
      </c>
      <c r="BW58" s="2">
        <v>195.8</v>
      </c>
      <c r="BX58" s="2">
        <v>174.2</v>
      </c>
      <c r="BY58" s="2">
        <v>182.1</v>
      </c>
      <c r="BZ58" s="2">
        <v>164.3</v>
      </c>
      <c r="CA58" s="2">
        <v>120</v>
      </c>
      <c r="CB58" s="2">
        <v>190</v>
      </c>
      <c r="CC58" s="2">
        <v>168.4</v>
      </c>
      <c r="CD58" s="2">
        <v>185.2</v>
      </c>
      <c r="CE58" s="2">
        <v>175</v>
      </c>
      <c r="CF58" s="2">
        <v>194.6</v>
      </c>
      <c r="CG58" s="2">
        <v>178.3</v>
      </c>
      <c r="CH58" s="2">
        <v>171.3</v>
      </c>
      <c r="CI58" s="2">
        <v>177.3</v>
      </c>
      <c r="CJ58" s="2">
        <v>167.8</v>
      </c>
      <c r="CK58" s="2">
        <v>179.6</v>
      </c>
      <c r="CL58" s="2">
        <v>167.4</v>
      </c>
      <c r="CM58" s="2">
        <v>176.1</v>
      </c>
      <c r="CN58" s="2">
        <v>161.6</v>
      </c>
      <c r="CO58" s="2">
        <v>166.3</v>
      </c>
      <c r="CP58" s="2">
        <v>171.4</v>
      </c>
      <c r="CQ58" s="2">
        <v>169.7</v>
      </c>
      <c r="CR58" s="2">
        <v>168.4</v>
      </c>
      <c r="CS58" s="2">
        <v>174.33076923076925</v>
      </c>
      <c r="CT58" s="2">
        <v>180.45</v>
      </c>
      <c r="CU58" s="2">
        <v>167.60000000000002</v>
      </c>
      <c r="CV58" s="2">
        <v>172.89999999999998</v>
      </c>
      <c r="CW58" s="2">
        <v>175.63333333333335</v>
      </c>
      <c r="CX58" s="2">
        <v>173.4</v>
      </c>
      <c r="CY58" s="1">
        <v>4.634994206257308E-3</v>
      </c>
      <c r="CZ58">
        <f>VLOOKUP(BR58,'OIL PRICE'!$A$1:$B$27,2,0)</f>
        <v>105.49</v>
      </c>
    </row>
    <row r="59" spans="1:104" x14ac:dyDescent="0.25">
      <c r="A59" t="s">
        <v>30</v>
      </c>
      <c r="B59">
        <v>2014</v>
      </c>
      <c r="C59" t="s">
        <v>40</v>
      </c>
      <c r="D59" s="2">
        <v>121.8</v>
      </c>
      <c r="E59" s="2">
        <v>122.8</v>
      </c>
      <c r="F59" s="2">
        <v>117.8</v>
      </c>
      <c r="G59" s="2">
        <v>121.9</v>
      </c>
      <c r="H59" s="2">
        <v>110.6</v>
      </c>
      <c r="I59" s="2">
        <v>129.69999999999999</v>
      </c>
      <c r="J59" s="2">
        <v>161.1</v>
      </c>
      <c r="K59" s="2">
        <v>114.1</v>
      </c>
      <c r="L59" s="2">
        <v>105.1</v>
      </c>
      <c r="M59" s="2">
        <v>114.6</v>
      </c>
      <c r="N59" s="2">
        <v>115.8</v>
      </c>
      <c r="O59" s="2">
        <v>121.7</v>
      </c>
      <c r="P59" s="2">
        <v>125.3</v>
      </c>
      <c r="Q59" s="2">
        <v>118.8</v>
      </c>
      <c r="R59" s="2">
        <v>120.9</v>
      </c>
      <c r="S59" s="2">
        <v>118.8</v>
      </c>
      <c r="T59" s="2">
        <v>120.7</v>
      </c>
      <c r="U59" s="2">
        <v>0</v>
      </c>
      <c r="V59" s="2">
        <v>115.4</v>
      </c>
      <c r="W59" s="2">
        <v>115.9</v>
      </c>
      <c r="X59" s="2">
        <v>114</v>
      </c>
      <c r="Y59" s="2">
        <v>113.2</v>
      </c>
      <c r="Z59" s="2">
        <v>112.2</v>
      </c>
      <c r="AA59" s="2">
        <v>116.2</v>
      </c>
      <c r="AB59" s="2">
        <v>109.4</v>
      </c>
      <c r="AC59" s="2">
        <v>113.5</v>
      </c>
      <c r="AD59" s="2">
        <f>AVERAGE(All_India_Index_Upto_April23_CPI_data[[#This Row],[Cereals and products]:[Food and beverages]])</f>
        <v>121.71538461538459</v>
      </c>
      <c r="AE59" s="2">
        <f>AVERAGE(All_India_Index_Upto_April23_CPI_data[[#This Row],[Recreation and amusement]],All_India_Index_Upto_April23_CPI_data[[#This Row],[Pan, tobacco and intoxicants]])</f>
        <v>115.5</v>
      </c>
      <c r="AF59" s="2">
        <f>AVERAGE(All_India_Index_Upto_April23_CPI_data[[#This Row],[Household goods and services]],All_India_Index_Upto_April23_CPI_data[[#This Row],[Housing]])</f>
        <v>57.95</v>
      </c>
      <c r="AG59" s="2">
        <f>AVERAGE(All_India_Index_Upto_April23_CPI_data[[#This Row],[Personal care and effects]],All_India_Index_Upto_April23_CPI_data[[#This Row],[Health]])</f>
        <v>111.7</v>
      </c>
      <c r="AH59" s="2">
        <f>AVERAGE(All_India_Index_Upto_April23_CPI_data[[#This Row],[Clothing]:[Clothing and footwear]])</f>
        <v>120.13333333333333</v>
      </c>
      <c r="AI59" s="2">
        <v>120.7</v>
      </c>
      <c r="AJ59" s="1">
        <f>(All_India_Index_Upto_April23_CPI_data[[#This Row],[General index]]-AI56)/AI56</f>
        <v>1.0041841004184125E-2</v>
      </c>
      <c r="BO59" t="s">
        <v>30</v>
      </c>
      <c r="BP59">
        <v>2022</v>
      </c>
      <c r="BQ59" t="s">
        <v>40</v>
      </c>
      <c r="BR59" s="11">
        <f t="shared" si="0"/>
        <v>44774</v>
      </c>
      <c r="BS59" s="2">
        <v>159.5</v>
      </c>
      <c r="BT59" s="2">
        <v>204.1</v>
      </c>
      <c r="BU59" s="2">
        <v>168.3</v>
      </c>
      <c r="BV59" s="2">
        <v>167.9</v>
      </c>
      <c r="BW59" s="2">
        <v>198.1</v>
      </c>
      <c r="BX59" s="2">
        <v>169.2</v>
      </c>
      <c r="BY59" s="2">
        <v>173.1</v>
      </c>
      <c r="BZ59" s="2">
        <v>167.1</v>
      </c>
      <c r="CA59" s="2">
        <v>120.2</v>
      </c>
      <c r="CB59" s="2">
        <v>195.6</v>
      </c>
      <c r="CC59" s="2">
        <v>174.8</v>
      </c>
      <c r="CD59" s="2">
        <v>184</v>
      </c>
      <c r="CE59" s="2">
        <v>173.9</v>
      </c>
      <c r="CF59" s="2">
        <v>193.7</v>
      </c>
      <c r="CG59" s="2">
        <v>183.2</v>
      </c>
      <c r="CH59" s="2">
        <v>181.7</v>
      </c>
      <c r="CI59" s="2">
        <v>183</v>
      </c>
      <c r="CJ59" s="2">
        <v>0</v>
      </c>
      <c r="CK59" s="2">
        <v>179.1</v>
      </c>
      <c r="CL59" s="2">
        <v>172.3</v>
      </c>
      <c r="CM59" s="2">
        <v>179.4</v>
      </c>
      <c r="CN59" s="2">
        <v>166.6</v>
      </c>
      <c r="CO59" s="2">
        <v>169.3</v>
      </c>
      <c r="CP59" s="2">
        <v>175.7</v>
      </c>
      <c r="CQ59" s="2">
        <v>171.1</v>
      </c>
      <c r="CR59" s="2">
        <v>172.6</v>
      </c>
      <c r="CS59" s="2">
        <v>173.5230769230769</v>
      </c>
      <c r="CT59" s="2">
        <v>181.5</v>
      </c>
      <c r="CU59" s="2">
        <v>86.15</v>
      </c>
      <c r="CV59" s="2">
        <v>175.25</v>
      </c>
      <c r="CW59" s="2">
        <v>182.63333333333333</v>
      </c>
      <c r="CX59" s="2">
        <v>175.3</v>
      </c>
      <c r="CY59" s="1">
        <v>5.737234652897303E-3</v>
      </c>
      <c r="CZ59">
        <f>VLOOKUP(BR59,'OIL PRICE'!$A$1:$B$27,2,0)</f>
        <v>97.4</v>
      </c>
    </row>
    <row r="60" spans="1:104" x14ac:dyDescent="0.25">
      <c r="A60" t="s">
        <v>32</v>
      </c>
      <c r="B60">
        <v>2014</v>
      </c>
      <c r="C60" t="s">
        <v>40</v>
      </c>
      <c r="D60" s="2">
        <v>124.8</v>
      </c>
      <c r="E60" s="2">
        <v>127.3</v>
      </c>
      <c r="F60" s="2">
        <v>116.5</v>
      </c>
      <c r="G60" s="2">
        <v>122.2</v>
      </c>
      <c r="H60" s="2">
        <v>103.6</v>
      </c>
      <c r="I60" s="2">
        <v>132.69999999999999</v>
      </c>
      <c r="J60" s="2">
        <v>181.9</v>
      </c>
      <c r="K60" s="2">
        <v>115.2</v>
      </c>
      <c r="L60" s="2">
        <v>102.7</v>
      </c>
      <c r="M60" s="2">
        <v>122.1</v>
      </c>
      <c r="N60" s="2">
        <v>114.4</v>
      </c>
      <c r="O60" s="2">
        <v>124.7</v>
      </c>
      <c r="P60" s="2">
        <v>128.9</v>
      </c>
      <c r="Q60" s="2">
        <v>123</v>
      </c>
      <c r="R60" s="2">
        <v>118.6</v>
      </c>
      <c r="S60" s="2">
        <v>114.1</v>
      </c>
      <c r="T60" s="2">
        <v>117.9</v>
      </c>
      <c r="U60" s="2">
        <v>115.5</v>
      </c>
      <c r="V60" s="2">
        <v>111.8</v>
      </c>
      <c r="W60" s="2">
        <v>115.3</v>
      </c>
      <c r="X60" s="2">
        <v>112.2</v>
      </c>
      <c r="Y60" s="2">
        <v>112.5</v>
      </c>
      <c r="Z60" s="2">
        <v>112.9</v>
      </c>
      <c r="AA60" s="2">
        <v>119.2</v>
      </c>
      <c r="AB60" s="2">
        <v>110.5</v>
      </c>
      <c r="AC60" s="2">
        <v>113.9</v>
      </c>
      <c r="AD60" s="2">
        <f>AVERAGE(All_India_Index_Upto_April23_CPI_data[[#This Row],[Cereals and products]:[Food and beverages]])</f>
        <v>124.38461538461539</v>
      </c>
      <c r="AE60" s="2">
        <f>AVERAGE(All_India_Index_Upto_April23_CPI_data[[#This Row],[Recreation and amusement]],All_India_Index_Upto_April23_CPI_data[[#This Row],[Pan, tobacco and intoxicants]])</f>
        <v>117.95</v>
      </c>
      <c r="AF60" s="2">
        <f>AVERAGE(All_India_Index_Upto_April23_CPI_data[[#This Row],[Household goods and services]],All_India_Index_Upto_April23_CPI_data[[#This Row],[Housing]])</f>
        <v>115.4</v>
      </c>
      <c r="AG60" s="2">
        <f>AVERAGE(All_India_Index_Upto_April23_CPI_data[[#This Row],[Personal care and effects]],All_India_Index_Upto_April23_CPI_data[[#This Row],[Health]])</f>
        <v>111.35</v>
      </c>
      <c r="AH60" s="2">
        <f>AVERAGE(All_India_Index_Upto_April23_CPI_data[[#This Row],[Clothing]:[Clothing and footwear]])</f>
        <v>116.86666666666667</v>
      </c>
      <c r="AI60" s="2">
        <v>119.9</v>
      </c>
      <c r="AJ60" s="1">
        <f>(All_India_Index_Upto_April23_CPI_data[[#This Row],[General index]]-AI57)/AI57</f>
        <v>8.4104289318755257E-3</v>
      </c>
      <c r="BO60" t="s">
        <v>32</v>
      </c>
      <c r="BP60">
        <v>2022</v>
      </c>
      <c r="BQ60" t="s">
        <v>40</v>
      </c>
      <c r="BR60" s="11">
        <f t="shared" si="0"/>
        <v>44774</v>
      </c>
      <c r="BS60" s="2">
        <v>162.1</v>
      </c>
      <c r="BT60" s="2">
        <v>210.9</v>
      </c>
      <c r="BU60" s="2">
        <v>170.6</v>
      </c>
      <c r="BV60" s="2">
        <v>168.4</v>
      </c>
      <c r="BW60" s="2">
        <v>182.5</v>
      </c>
      <c r="BX60" s="2">
        <v>177.1</v>
      </c>
      <c r="BY60" s="2">
        <v>213.1</v>
      </c>
      <c r="BZ60" s="2">
        <v>167.3</v>
      </c>
      <c r="CA60" s="2">
        <v>122.2</v>
      </c>
      <c r="CB60" s="2">
        <v>189.7</v>
      </c>
      <c r="CC60" s="2">
        <v>160.5</v>
      </c>
      <c r="CD60" s="2">
        <v>188.9</v>
      </c>
      <c r="CE60" s="2">
        <v>180.4</v>
      </c>
      <c r="CF60" s="2">
        <v>198.7</v>
      </c>
      <c r="CG60" s="2">
        <v>173.7</v>
      </c>
      <c r="CH60" s="2">
        <v>160</v>
      </c>
      <c r="CI60" s="2">
        <v>171.6</v>
      </c>
      <c r="CJ60" s="2">
        <v>169</v>
      </c>
      <c r="CK60" s="2">
        <v>178.4</v>
      </c>
      <c r="CL60" s="2">
        <v>164.2</v>
      </c>
      <c r="CM60" s="2">
        <v>172.6</v>
      </c>
      <c r="CN60" s="2">
        <v>157.69999999999999</v>
      </c>
      <c r="CO60" s="2">
        <v>165.1</v>
      </c>
      <c r="CP60" s="2">
        <v>169.9</v>
      </c>
      <c r="CQ60" s="2">
        <v>171.4</v>
      </c>
      <c r="CR60" s="2">
        <v>165.4</v>
      </c>
      <c r="CS60" s="2">
        <v>176.43846153846152</v>
      </c>
      <c r="CT60" s="2">
        <v>181.89999999999998</v>
      </c>
      <c r="CU60" s="2">
        <v>166.6</v>
      </c>
      <c r="CV60" s="2">
        <v>172</v>
      </c>
      <c r="CW60" s="2">
        <v>168.43333333333331</v>
      </c>
      <c r="CX60" s="2">
        <v>173.1</v>
      </c>
      <c r="CY60" s="1">
        <v>4.6430644225187636E-3</v>
      </c>
      <c r="CZ60">
        <f>VLOOKUP(BR60,'OIL PRICE'!$A$1:$B$27,2,0)</f>
        <v>97.4</v>
      </c>
    </row>
    <row r="61" spans="1:104" x14ac:dyDescent="0.25">
      <c r="A61" t="s">
        <v>33</v>
      </c>
      <c r="B61">
        <v>2014</v>
      </c>
      <c r="C61" t="s">
        <v>40</v>
      </c>
      <c r="D61" s="2">
        <v>122.7</v>
      </c>
      <c r="E61" s="2">
        <v>124.4</v>
      </c>
      <c r="F61" s="2">
        <v>117.3</v>
      </c>
      <c r="G61" s="2">
        <v>122</v>
      </c>
      <c r="H61" s="2">
        <v>108</v>
      </c>
      <c r="I61" s="2">
        <v>131.1</v>
      </c>
      <c r="J61" s="2">
        <v>168.2</v>
      </c>
      <c r="K61" s="2">
        <v>114.5</v>
      </c>
      <c r="L61" s="2">
        <v>104.3</v>
      </c>
      <c r="M61" s="2">
        <v>117.1</v>
      </c>
      <c r="N61" s="2">
        <v>115.2</v>
      </c>
      <c r="O61" s="2">
        <v>123.1</v>
      </c>
      <c r="P61" s="2">
        <v>126.6</v>
      </c>
      <c r="Q61" s="2">
        <v>119.9</v>
      </c>
      <c r="R61" s="2">
        <v>120</v>
      </c>
      <c r="S61" s="2">
        <v>116.8</v>
      </c>
      <c r="T61" s="2">
        <v>119.6</v>
      </c>
      <c r="U61" s="2">
        <v>115.5</v>
      </c>
      <c r="V61" s="2">
        <v>114</v>
      </c>
      <c r="W61" s="2">
        <v>115.6</v>
      </c>
      <c r="X61" s="2">
        <v>113.3</v>
      </c>
      <c r="Y61" s="2">
        <v>112.8</v>
      </c>
      <c r="Z61" s="2">
        <v>112.6</v>
      </c>
      <c r="AA61" s="2">
        <v>118</v>
      </c>
      <c r="AB61" s="2">
        <v>109.9</v>
      </c>
      <c r="AC61" s="2">
        <v>113.7</v>
      </c>
      <c r="AD61" s="2">
        <f>AVERAGE(All_India_Index_Upto_April23_CPI_data[[#This Row],[Cereals and products]:[Food and beverages]])</f>
        <v>122.65384615384613</v>
      </c>
      <c r="AE61" s="2">
        <f>AVERAGE(All_India_Index_Upto_April23_CPI_data[[#This Row],[Recreation and amusement]],All_India_Index_Upto_April23_CPI_data[[#This Row],[Pan, tobacco and intoxicants]])</f>
        <v>116.25</v>
      </c>
      <c r="AF61" s="2">
        <f>AVERAGE(All_India_Index_Upto_April23_CPI_data[[#This Row],[Household goods and services]],All_India_Index_Upto_April23_CPI_data[[#This Row],[Housing]])</f>
        <v>115.55</v>
      </c>
      <c r="AG61" s="2">
        <f>AVERAGE(All_India_Index_Upto_April23_CPI_data[[#This Row],[Personal care and effects]],All_India_Index_Upto_April23_CPI_data[[#This Row],[Health]])</f>
        <v>111.6</v>
      </c>
      <c r="AH61" s="2">
        <f>AVERAGE(All_India_Index_Upto_April23_CPI_data[[#This Row],[Clothing]:[Clothing and footwear]])</f>
        <v>118.8</v>
      </c>
      <c r="AI61" s="2">
        <v>120.3</v>
      </c>
      <c r="AJ61" s="1">
        <f>(All_India_Index_Upto_April23_CPI_data[[#This Row],[General index]]-AI58)/AI58</f>
        <v>9.2281879194630392E-3</v>
      </c>
      <c r="BO61" t="s">
        <v>33</v>
      </c>
      <c r="BP61">
        <v>2022</v>
      </c>
      <c r="BQ61" t="s">
        <v>40</v>
      </c>
      <c r="BR61" s="11">
        <f t="shared" si="0"/>
        <v>44774</v>
      </c>
      <c r="BS61" s="2">
        <v>160.30000000000001</v>
      </c>
      <c r="BT61" s="2">
        <v>206.5</v>
      </c>
      <c r="BU61" s="2">
        <v>169.2</v>
      </c>
      <c r="BV61" s="2">
        <v>168.1</v>
      </c>
      <c r="BW61" s="2">
        <v>192.4</v>
      </c>
      <c r="BX61" s="2">
        <v>172.9</v>
      </c>
      <c r="BY61" s="2">
        <v>186.7</v>
      </c>
      <c r="BZ61" s="2">
        <v>167.2</v>
      </c>
      <c r="CA61" s="2">
        <v>120.9</v>
      </c>
      <c r="CB61" s="2">
        <v>193.6</v>
      </c>
      <c r="CC61" s="2">
        <v>168.8</v>
      </c>
      <c r="CD61" s="2">
        <v>186.3</v>
      </c>
      <c r="CE61" s="2">
        <v>176.3</v>
      </c>
      <c r="CF61" s="2">
        <v>195</v>
      </c>
      <c r="CG61" s="2">
        <v>179.5</v>
      </c>
      <c r="CH61" s="2">
        <v>172.7</v>
      </c>
      <c r="CI61" s="2">
        <v>178.5</v>
      </c>
      <c r="CJ61" s="2">
        <v>169</v>
      </c>
      <c r="CK61" s="2">
        <v>178.8</v>
      </c>
      <c r="CL61" s="2">
        <v>168.5</v>
      </c>
      <c r="CM61" s="2">
        <v>176.8</v>
      </c>
      <c r="CN61" s="2">
        <v>161.9</v>
      </c>
      <c r="CO61" s="2">
        <v>166.9</v>
      </c>
      <c r="CP61" s="2">
        <v>172.3</v>
      </c>
      <c r="CQ61" s="2">
        <v>171.2</v>
      </c>
      <c r="CR61" s="2">
        <v>169.1</v>
      </c>
      <c r="CS61" s="2">
        <v>174.55384615384617</v>
      </c>
      <c r="CT61" s="2">
        <v>180.95</v>
      </c>
      <c r="CU61" s="2">
        <v>168.75</v>
      </c>
      <c r="CV61" s="2">
        <v>174</v>
      </c>
      <c r="CW61" s="2">
        <v>176.9</v>
      </c>
      <c r="CX61" s="2">
        <v>174.3</v>
      </c>
      <c r="CY61" s="1">
        <v>5.1903114186851538E-3</v>
      </c>
      <c r="CZ61">
        <f>VLOOKUP(BR61,'OIL PRICE'!$A$1:$B$27,2,0)</f>
        <v>97.4</v>
      </c>
    </row>
    <row r="62" spans="1:104" x14ac:dyDescent="0.25">
      <c r="A62" t="s">
        <v>30</v>
      </c>
      <c r="B62">
        <v>2014</v>
      </c>
      <c r="C62" t="s">
        <v>41</v>
      </c>
      <c r="D62" s="2">
        <v>122.3</v>
      </c>
      <c r="E62" s="2">
        <v>122.4</v>
      </c>
      <c r="F62" s="2">
        <v>117.8</v>
      </c>
      <c r="G62" s="2">
        <v>122.7</v>
      </c>
      <c r="H62" s="2">
        <v>110.4</v>
      </c>
      <c r="I62" s="2">
        <v>129.80000000000001</v>
      </c>
      <c r="J62" s="2">
        <v>158.80000000000001</v>
      </c>
      <c r="K62" s="2">
        <v>115</v>
      </c>
      <c r="L62" s="2">
        <v>104.7</v>
      </c>
      <c r="M62" s="2">
        <v>114.9</v>
      </c>
      <c r="N62" s="2">
        <v>116.5</v>
      </c>
      <c r="O62" s="2">
        <v>122.6</v>
      </c>
      <c r="P62" s="2">
        <v>125.3</v>
      </c>
      <c r="Q62" s="2">
        <v>119.5</v>
      </c>
      <c r="R62" s="2">
        <v>121.7</v>
      </c>
      <c r="S62" s="2">
        <v>119.2</v>
      </c>
      <c r="T62" s="2">
        <v>121.3</v>
      </c>
      <c r="U62" s="2">
        <v>0</v>
      </c>
      <c r="V62" s="2">
        <v>115.8</v>
      </c>
      <c r="W62" s="2">
        <v>116.7</v>
      </c>
      <c r="X62" s="2">
        <v>114.5</v>
      </c>
      <c r="Y62" s="2">
        <v>112.8</v>
      </c>
      <c r="Z62" s="2">
        <v>112.6</v>
      </c>
      <c r="AA62" s="2">
        <v>116.6</v>
      </c>
      <c r="AB62" s="2">
        <v>109.1</v>
      </c>
      <c r="AC62" s="2">
        <v>113.7</v>
      </c>
      <c r="AD62" s="2">
        <f>AVERAGE(All_India_Index_Upto_April23_CPI_data[[#This Row],[Cereals and products]:[Food and beverages]])</f>
        <v>121.78461538461539</v>
      </c>
      <c r="AE62" s="2">
        <f>AVERAGE(All_India_Index_Upto_April23_CPI_data[[#This Row],[Recreation and amusement]],All_India_Index_Upto_April23_CPI_data[[#This Row],[Pan, tobacco and intoxicants]])</f>
        <v>116.05</v>
      </c>
      <c r="AF62" s="2">
        <f>AVERAGE(All_India_Index_Upto_April23_CPI_data[[#This Row],[Household goods and services]],All_India_Index_Upto_April23_CPI_data[[#This Row],[Housing]])</f>
        <v>58.35</v>
      </c>
      <c r="AG62" s="2">
        <f>AVERAGE(All_India_Index_Upto_April23_CPI_data[[#This Row],[Personal care and effects]],All_India_Index_Upto_April23_CPI_data[[#This Row],[Health]])</f>
        <v>111.8</v>
      </c>
      <c r="AH62" s="2">
        <f>AVERAGE(All_India_Index_Upto_April23_CPI_data[[#This Row],[Clothing]:[Clothing and footwear]])</f>
        <v>120.73333333333333</v>
      </c>
      <c r="AI62" s="2">
        <v>120.9</v>
      </c>
      <c r="AJ62" s="1">
        <f>(All_India_Index_Upto_April23_CPI_data[[#This Row],[General index]]-AI59)/AI59</f>
        <v>1.6570008285004378E-3</v>
      </c>
      <c r="BO62" t="s">
        <v>30</v>
      </c>
      <c r="BP62">
        <v>2022</v>
      </c>
      <c r="BQ62" t="s">
        <v>41</v>
      </c>
      <c r="BR62" s="11">
        <f t="shared" si="0"/>
        <v>44805</v>
      </c>
      <c r="BS62" s="2">
        <v>162.9</v>
      </c>
      <c r="BT62" s="2">
        <v>206.7</v>
      </c>
      <c r="BU62" s="2">
        <v>169</v>
      </c>
      <c r="BV62" s="2">
        <v>169.5</v>
      </c>
      <c r="BW62" s="2">
        <v>194.1</v>
      </c>
      <c r="BX62" s="2">
        <v>164.1</v>
      </c>
      <c r="BY62" s="2">
        <v>176.9</v>
      </c>
      <c r="BZ62" s="2">
        <v>169</v>
      </c>
      <c r="CA62" s="2">
        <v>120.8</v>
      </c>
      <c r="CB62" s="2">
        <v>199.1</v>
      </c>
      <c r="CC62" s="2">
        <v>175.4</v>
      </c>
      <c r="CD62" s="2">
        <v>184.8</v>
      </c>
      <c r="CE62" s="2">
        <v>175.5</v>
      </c>
      <c r="CF62" s="2">
        <v>194.5</v>
      </c>
      <c r="CG62" s="2">
        <v>184.7</v>
      </c>
      <c r="CH62" s="2">
        <v>183.3</v>
      </c>
      <c r="CI62" s="2">
        <v>184.5</v>
      </c>
      <c r="CJ62" s="2">
        <v>0</v>
      </c>
      <c r="CK62" s="2">
        <v>179.7</v>
      </c>
      <c r="CL62" s="2">
        <v>173.6</v>
      </c>
      <c r="CM62" s="2">
        <v>180.2</v>
      </c>
      <c r="CN62" s="2">
        <v>166.9</v>
      </c>
      <c r="CO62" s="2">
        <v>170</v>
      </c>
      <c r="CP62" s="2">
        <v>176.2</v>
      </c>
      <c r="CQ62" s="2">
        <v>170.8</v>
      </c>
      <c r="CR62" s="2">
        <v>173.1</v>
      </c>
      <c r="CS62" s="2">
        <v>174.44615384615386</v>
      </c>
      <c r="CT62" s="2">
        <v>182.25</v>
      </c>
      <c r="CU62" s="2">
        <v>86.8</v>
      </c>
      <c r="CV62" s="2">
        <v>175.5</v>
      </c>
      <c r="CW62" s="2">
        <v>184.16666666666666</v>
      </c>
      <c r="CX62" s="2">
        <v>176.4</v>
      </c>
      <c r="CY62" s="1">
        <v>6.2749572162007659E-3</v>
      </c>
      <c r="CZ62">
        <f>VLOOKUP(BR62,'OIL PRICE'!$A$1:$B$27,2,0)</f>
        <v>90.71</v>
      </c>
    </row>
    <row r="63" spans="1:104" x14ac:dyDescent="0.25">
      <c r="A63" t="s">
        <v>32</v>
      </c>
      <c r="B63">
        <v>2014</v>
      </c>
      <c r="C63" t="s">
        <v>41</v>
      </c>
      <c r="D63" s="2">
        <v>124.2</v>
      </c>
      <c r="E63" s="2">
        <v>125.4</v>
      </c>
      <c r="F63" s="2">
        <v>116.4</v>
      </c>
      <c r="G63" s="2">
        <v>122.7</v>
      </c>
      <c r="H63" s="2">
        <v>103.5</v>
      </c>
      <c r="I63" s="2">
        <v>124.5</v>
      </c>
      <c r="J63" s="2">
        <v>168.6</v>
      </c>
      <c r="K63" s="2">
        <v>116.9</v>
      </c>
      <c r="L63" s="2">
        <v>101.9</v>
      </c>
      <c r="M63" s="2">
        <v>122.9</v>
      </c>
      <c r="N63" s="2">
        <v>114.8</v>
      </c>
      <c r="O63" s="2">
        <v>125.2</v>
      </c>
      <c r="P63" s="2">
        <v>126.7</v>
      </c>
      <c r="Q63" s="2">
        <v>124.3</v>
      </c>
      <c r="R63" s="2">
        <v>119.2</v>
      </c>
      <c r="S63" s="2">
        <v>114.5</v>
      </c>
      <c r="T63" s="2">
        <v>118.4</v>
      </c>
      <c r="U63" s="2">
        <v>116.1</v>
      </c>
      <c r="V63" s="2">
        <v>111.8</v>
      </c>
      <c r="W63" s="2">
        <v>115.5</v>
      </c>
      <c r="X63" s="2">
        <v>112.3</v>
      </c>
      <c r="Y63" s="2">
        <v>111.2</v>
      </c>
      <c r="Z63" s="2">
        <v>113.4</v>
      </c>
      <c r="AA63" s="2">
        <v>120</v>
      </c>
      <c r="AB63" s="2">
        <v>110</v>
      </c>
      <c r="AC63" s="2">
        <v>113.6</v>
      </c>
      <c r="AD63" s="2">
        <f>AVERAGE(All_India_Index_Upto_April23_CPI_data[[#This Row],[Cereals and products]:[Food and beverages]])</f>
        <v>122.59230769230771</v>
      </c>
      <c r="AE63" s="2">
        <f>AVERAGE(All_India_Index_Upto_April23_CPI_data[[#This Row],[Recreation and amusement]],All_India_Index_Upto_April23_CPI_data[[#This Row],[Pan, tobacco and intoxicants]])</f>
        <v>118.85</v>
      </c>
      <c r="AF63" s="2">
        <f>AVERAGE(All_India_Index_Upto_April23_CPI_data[[#This Row],[Household goods and services]],All_India_Index_Upto_April23_CPI_data[[#This Row],[Housing]])</f>
        <v>115.8</v>
      </c>
      <c r="AG63" s="2">
        <f>AVERAGE(All_India_Index_Upto_April23_CPI_data[[#This Row],[Personal care and effects]],All_India_Index_Upto_April23_CPI_data[[#This Row],[Health]])</f>
        <v>111.15</v>
      </c>
      <c r="AH63" s="2">
        <f>AVERAGE(All_India_Index_Upto_April23_CPI_data[[#This Row],[Clothing]:[Clothing and footwear]])</f>
        <v>117.36666666666667</v>
      </c>
      <c r="AI63" s="2">
        <v>119.2</v>
      </c>
      <c r="AJ63" s="1">
        <f>(All_India_Index_Upto_April23_CPI_data[[#This Row],[General index]]-AI60)/AI60</f>
        <v>-5.8381984987489807E-3</v>
      </c>
      <c r="BO63" t="s">
        <v>32</v>
      </c>
      <c r="BP63">
        <v>2022</v>
      </c>
      <c r="BQ63" t="s">
        <v>41</v>
      </c>
      <c r="BR63" s="11">
        <f t="shared" si="0"/>
        <v>44805</v>
      </c>
      <c r="BS63" s="2">
        <v>164.9</v>
      </c>
      <c r="BT63" s="2">
        <v>213.7</v>
      </c>
      <c r="BU63" s="2">
        <v>170.9</v>
      </c>
      <c r="BV63" s="2">
        <v>170.1</v>
      </c>
      <c r="BW63" s="2">
        <v>179.3</v>
      </c>
      <c r="BX63" s="2">
        <v>167.5</v>
      </c>
      <c r="BY63" s="2">
        <v>220.8</v>
      </c>
      <c r="BZ63" s="2">
        <v>169.2</v>
      </c>
      <c r="CA63" s="2">
        <v>123.1</v>
      </c>
      <c r="CB63" s="2">
        <v>193.6</v>
      </c>
      <c r="CC63" s="2">
        <v>161.1</v>
      </c>
      <c r="CD63" s="2">
        <v>190.4</v>
      </c>
      <c r="CE63" s="2">
        <v>181.8</v>
      </c>
      <c r="CF63" s="2">
        <v>199.7</v>
      </c>
      <c r="CG63" s="2">
        <v>175</v>
      </c>
      <c r="CH63" s="2">
        <v>161.69999999999999</v>
      </c>
      <c r="CI63" s="2">
        <v>173</v>
      </c>
      <c r="CJ63" s="2">
        <v>169.5</v>
      </c>
      <c r="CK63" s="2">
        <v>179.2</v>
      </c>
      <c r="CL63" s="2">
        <v>165</v>
      </c>
      <c r="CM63" s="2">
        <v>173.8</v>
      </c>
      <c r="CN63" s="2">
        <v>158.19999999999999</v>
      </c>
      <c r="CO63" s="2">
        <v>165.8</v>
      </c>
      <c r="CP63" s="2">
        <v>170.9</v>
      </c>
      <c r="CQ63" s="2">
        <v>171.1</v>
      </c>
      <c r="CR63" s="2">
        <v>166.1</v>
      </c>
      <c r="CS63" s="2">
        <v>177.41538461538462</v>
      </c>
      <c r="CT63" s="2">
        <v>182.75</v>
      </c>
      <c r="CU63" s="2">
        <v>167.25</v>
      </c>
      <c r="CV63" s="2">
        <v>172.45</v>
      </c>
      <c r="CW63" s="2">
        <v>169.9</v>
      </c>
      <c r="CX63" s="2">
        <v>174.1</v>
      </c>
      <c r="CY63" s="1">
        <v>5.7770075101097633E-3</v>
      </c>
      <c r="CZ63">
        <f>VLOOKUP(BR63,'OIL PRICE'!$A$1:$B$27,2,0)</f>
        <v>90.71</v>
      </c>
    </row>
    <row r="64" spans="1:104" x14ac:dyDescent="0.25">
      <c r="A64" t="s">
        <v>33</v>
      </c>
      <c r="B64">
        <v>2014</v>
      </c>
      <c r="C64" t="s">
        <v>41</v>
      </c>
      <c r="D64" s="2">
        <v>122.9</v>
      </c>
      <c r="E64" s="2">
        <v>123.5</v>
      </c>
      <c r="F64" s="2">
        <v>117.3</v>
      </c>
      <c r="G64" s="2">
        <v>122.7</v>
      </c>
      <c r="H64" s="2">
        <v>107.9</v>
      </c>
      <c r="I64" s="2">
        <v>127.3</v>
      </c>
      <c r="J64" s="2">
        <v>162.1</v>
      </c>
      <c r="K64" s="2">
        <v>115.6</v>
      </c>
      <c r="L64" s="2">
        <v>103.8</v>
      </c>
      <c r="M64" s="2">
        <v>117.6</v>
      </c>
      <c r="N64" s="2">
        <v>115.8</v>
      </c>
      <c r="O64" s="2">
        <v>123.8</v>
      </c>
      <c r="P64" s="2">
        <v>125.8</v>
      </c>
      <c r="Q64" s="2">
        <v>120.8</v>
      </c>
      <c r="R64" s="2">
        <v>120.7</v>
      </c>
      <c r="S64" s="2">
        <v>117.2</v>
      </c>
      <c r="T64" s="2">
        <v>120.1</v>
      </c>
      <c r="U64" s="2">
        <v>116.1</v>
      </c>
      <c r="V64" s="2">
        <v>114.3</v>
      </c>
      <c r="W64" s="2">
        <v>116.1</v>
      </c>
      <c r="X64" s="2">
        <v>113.7</v>
      </c>
      <c r="Y64" s="2">
        <v>112</v>
      </c>
      <c r="Z64" s="2">
        <v>113.1</v>
      </c>
      <c r="AA64" s="2">
        <v>118.6</v>
      </c>
      <c r="AB64" s="2">
        <v>109.5</v>
      </c>
      <c r="AC64" s="2">
        <v>113.7</v>
      </c>
      <c r="AD64" s="2">
        <f>AVERAGE(All_India_Index_Upto_April23_CPI_data[[#This Row],[Cereals and products]:[Food and beverages]])</f>
        <v>122.00769230769228</v>
      </c>
      <c r="AE64" s="2">
        <f>AVERAGE(All_India_Index_Upto_April23_CPI_data[[#This Row],[Recreation and amusement]],All_India_Index_Upto_April23_CPI_data[[#This Row],[Pan, tobacco and intoxicants]])</f>
        <v>116.94999999999999</v>
      </c>
      <c r="AF64" s="2">
        <f>AVERAGE(All_India_Index_Upto_April23_CPI_data[[#This Row],[Household goods and services]],All_India_Index_Upto_April23_CPI_data[[#This Row],[Housing]])</f>
        <v>116.1</v>
      </c>
      <c r="AG64" s="2">
        <f>AVERAGE(All_India_Index_Upto_April23_CPI_data[[#This Row],[Personal care and effects]],All_India_Index_Upto_April23_CPI_data[[#This Row],[Health]])</f>
        <v>111.6</v>
      </c>
      <c r="AH64" s="2">
        <f>AVERAGE(All_India_Index_Upto_April23_CPI_data[[#This Row],[Clothing]:[Clothing and footwear]])</f>
        <v>119.33333333333333</v>
      </c>
      <c r="AI64" s="2">
        <v>120.1</v>
      </c>
      <c r="AJ64" s="1">
        <f>(All_India_Index_Upto_April23_CPI_data[[#This Row],[General index]]-AI61)/AI61</f>
        <v>-1.6625103906899655E-3</v>
      </c>
      <c r="BO64" t="s">
        <v>33</v>
      </c>
      <c r="BP64">
        <v>2022</v>
      </c>
      <c r="BQ64" t="s">
        <v>41</v>
      </c>
      <c r="BR64" s="11">
        <f t="shared" si="0"/>
        <v>44805</v>
      </c>
      <c r="BS64" s="2">
        <v>163.5</v>
      </c>
      <c r="BT64" s="2">
        <v>209.2</v>
      </c>
      <c r="BU64" s="2">
        <v>169.7</v>
      </c>
      <c r="BV64" s="2">
        <v>169.7</v>
      </c>
      <c r="BW64" s="2">
        <v>188.7</v>
      </c>
      <c r="BX64" s="2">
        <v>165.7</v>
      </c>
      <c r="BY64" s="2">
        <v>191.8</v>
      </c>
      <c r="BZ64" s="2">
        <v>169.1</v>
      </c>
      <c r="CA64" s="2">
        <v>121.6</v>
      </c>
      <c r="CB64" s="2">
        <v>197.3</v>
      </c>
      <c r="CC64" s="2">
        <v>169.4</v>
      </c>
      <c r="CD64" s="2">
        <v>187.4</v>
      </c>
      <c r="CE64" s="2">
        <v>177.8</v>
      </c>
      <c r="CF64" s="2">
        <v>195.9</v>
      </c>
      <c r="CG64" s="2">
        <v>180.9</v>
      </c>
      <c r="CH64" s="2">
        <v>174.3</v>
      </c>
      <c r="CI64" s="2">
        <v>179.9</v>
      </c>
      <c r="CJ64" s="2">
        <v>169.5</v>
      </c>
      <c r="CK64" s="2">
        <v>179.5</v>
      </c>
      <c r="CL64" s="2">
        <v>169.5</v>
      </c>
      <c r="CM64" s="2">
        <v>177.8</v>
      </c>
      <c r="CN64" s="2">
        <v>162.30000000000001</v>
      </c>
      <c r="CO64" s="2">
        <v>167.6</v>
      </c>
      <c r="CP64" s="2">
        <v>173.1</v>
      </c>
      <c r="CQ64" s="2">
        <v>170.9</v>
      </c>
      <c r="CR64" s="2">
        <v>169.7</v>
      </c>
      <c r="CS64" s="2">
        <v>175.45384615384617</v>
      </c>
      <c r="CT64" s="2">
        <v>181.75</v>
      </c>
      <c r="CU64" s="2">
        <v>169.5</v>
      </c>
      <c r="CV64" s="2">
        <v>174.35000000000002</v>
      </c>
      <c r="CW64" s="2">
        <v>178.36666666666667</v>
      </c>
      <c r="CX64" s="2">
        <v>175.3</v>
      </c>
      <c r="CY64" s="1">
        <v>5.737234652897303E-3</v>
      </c>
      <c r="CZ64">
        <f>VLOOKUP(BR64,'OIL PRICE'!$A$1:$B$27,2,0)</f>
        <v>90.71</v>
      </c>
    </row>
    <row r="65" spans="1:104" x14ac:dyDescent="0.25">
      <c r="A65" t="s">
        <v>30</v>
      </c>
      <c r="B65">
        <v>2014</v>
      </c>
      <c r="C65" t="s">
        <v>42</v>
      </c>
      <c r="D65" s="2">
        <v>122.6</v>
      </c>
      <c r="E65" s="2">
        <v>122.5</v>
      </c>
      <c r="F65" s="2">
        <v>118.3</v>
      </c>
      <c r="G65" s="2">
        <v>123.2</v>
      </c>
      <c r="H65" s="2">
        <v>110.5</v>
      </c>
      <c r="I65" s="2">
        <v>128.9</v>
      </c>
      <c r="J65" s="2">
        <v>155.30000000000001</v>
      </c>
      <c r="K65" s="2">
        <v>115.5</v>
      </c>
      <c r="L65" s="2">
        <v>104</v>
      </c>
      <c r="M65" s="2">
        <v>115.3</v>
      </c>
      <c r="N65" s="2">
        <v>116.8</v>
      </c>
      <c r="O65" s="2">
        <v>123.2</v>
      </c>
      <c r="P65" s="2">
        <v>125.1</v>
      </c>
      <c r="Q65" s="2">
        <v>120</v>
      </c>
      <c r="R65" s="2">
        <v>122.7</v>
      </c>
      <c r="S65" s="2">
        <v>120.3</v>
      </c>
      <c r="T65" s="2">
        <v>122.3</v>
      </c>
      <c r="U65" s="2">
        <v>0</v>
      </c>
      <c r="V65" s="2">
        <v>116.4</v>
      </c>
      <c r="W65" s="2">
        <v>117.5</v>
      </c>
      <c r="X65" s="2">
        <v>115.3</v>
      </c>
      <c r="Y65" s="2">
        <v>112.6</v>
      </c>
      <c r="Z65" s="2">
        <v>113</v>
      </c>
      <c r="AA65" s="2">
        <v>116.9</v>
      </c>
      <c r="AB65" s="2">
        <v>109.3</v>
      </c>
      <c r="AC65" s="2">
        <v>114</v>
      </c>
      <c r="AD65" s="2">
        <f>AVERAGE(All_India_Index_Upto_April23_CPI_data[[#This Row],[Cereals and products]:[Food and beverages]])</f>
        <v>121.63076923076922</v>
      </c>
      <c r="AE65" s="2">
        <f>AVERAGE(All_India_Index_Upto_April23_CPI_data[[#This Row],[Recreation and amusement]],All_India_Index_Upto_April23_CPI_data[[#This Row],[Pan, tobacco and intoxicants]])</f>
        <v>116.5</v>
      </c>
      <c r="AF65" s="2">
        <f>AVERAGE(All_India_Index_Upto_April23_CPI_data[[#This Row],[Household goods and services]],All_India_Index_Upto_April23_CPI_data[[#This Row],[Housing]])</f>
        <v>58.75</v>
      </c>
      <c r="AG65" s="2">
        <f>AVERAGE(All_India_Index_Upto_April23_CPI_data[[#This Row],[Personal care and effects]],All_India_Index_Upto_April23_CPI_data[[#This Row],[Health]])</f>
        <v>112.3</v>
      </c>
      <c r="AH65" s="2">
        <f>AVERAGE(All_India_Index_Upto_April23_CPI_data[[#This Row],[Clothing]:[Clothing and footwear]])</f>
        <v>121.76666666666667</v>
      </c>
      <c r="AI65" s="2">
        <v>121</v>
      </c>
      <c r="AJ65" s="1">
        <f>(All_India_Index_Upto_April23_CPI_data[[#This Row],[General index]]-AI62)/AI62</f>
        <v>8.2712985938787685E-4</v>
      </c>
      <c r="BO65" t="s">
        <v>30</v>
      </c>
      <c r="BP65">
        <v>2022</v>
      </c>
      <c r="BQ65" t="s">
        <v>42</v>
      </c>
      <c r="BR65" s="11">
        <f t="shared" si="0"/>
        <v>44835</v>
      </c>
      <c r="BS65" s="2">
        <v>164.7</v>
      </c>
      <c r="BT65" s="2">
        <v>208.8</v>
      </c>
      <c r="BU65" s="2">
        <v>170.3</v>
      </c>
      <c r="BV65" s="2">
        <v>170.9</v>
      </c>
      <c r="BW65" s="2">
        <v>191.6</v>
      </c>
      <c r="BX65" s="2">
        <v>162.19999999999999</v>
      </c>
      <c r="BY65" s="2">
        <v>184.8</v>
      </c>
      <c r="BZ65" s="2">
        <v>169.7</v>
      </c>
      <c r="CA65" s="2">
        <v>121.1</v>
      </c>
      <c r="CB65" s="2">
        <v>201.6</v>
      </c>
      <c r="CC65" s="2">
        <v>175.8</v>
      </c>
      <c r="CD65" s="2">
        <v>185.6</v>
      </c>
      <c r="CE65" s="2">
        <v>177.4</v>
      </c>
      <c r="CF65" s="2">
        <v>194.9</v>
      </c>
      <c r="CG65" s="2">
        <v>186.1</v>
      </c>
      <c r="CH65" s="2">
        <v>184.4</v>
      </c>
      <c r="CI65" s="2">
        <v>185.9</v>
      </c>
      <c r="CJ65" s="2">
        <v>0</v>
      </c>
      <c r="CK65" s="2">
        <v>180.8</v>
      </c>
      <c r="CL65" s="2">
        <v>174.4</v>
      </c>
      <c r="CM65" s="2">
        <v>181.2</v>
      </c>
      <c r="CN65" s="2">
        <v>167.4</v>
      </c>
      <c r="CO65" s="2">
        <v>170.6</v>
      </c>
      <c r="CP65" s="2">
        <v>176.5</v>
      </c>
      <c r="CQ65" s="2">
        <v>172</v>
      </c>
      <c r="CR65" s="2">
        <v>173.9</v>
      </c>
      <c r="CS65" s="2">
        <v>175.73076923076923</v>
      </c>
      <c r="CT65" s="2">
        <v>182.75</v>
      </c>
      <c r="CU65" s="2">
        <v>87.2</v>
      </c>
      <c r="CV65" s="2">
        <v>176.6</v>
      </c>
      <c r="CW65" s="2">
        <v>185.46666666666667</v>
      </c>
      <c r="CX65" s="2">
        <v>177.9</v>
      </c>
      <c r="CY65" s="1">
        <v>8.5034013605442167E-3</v>
      </c>
      <c r="CZ65">
        <f>VLOOKUP(BR65,'OIL PRICE'!$A$1:$B$27,2,0)</f>
        <v>91.7</v>
      </c>
    </row>
    <row r="66" spans="1:104" x14ac:dyDescent="0.25">
      <c r="A66" t="s">
        <v>32</v>
      </c>
      <c r="B66">
        <v>2014</v>
      </c>
      <c r="C66" t="s">
        <v>42</v>
      </c>
      <c r="D66" s="2">
        <v>124.6</v>
      </c>
      <c r="E66" s="2">
        <v>126.1</v>
      </c>
      <c r="F66" s="2">
        <v>117.8</v>
      </c>
      <c r="G66" s="2">
        <v>123.1</v>
      </c>
      <c r="H66" s="2">
        <v>103.5</v>
      </c>
      <c r="I66" s="2">
        <v>123.5</v>
      </c>
      <c r="J66" s="2">
        <v>159.6</v>
      </c>
      <c r="K66" s="2">
        <v>117.4</v>
      </c>
      <c r="L66" s="2">
        <v>101.2</v>
      </c>
      <c r="M66" s="2">
        <v>123.8</v>
      </c>
      <c r="N66" s="2">
        <v>115.2</v>
      </c>
      <c r="O66" s="2">
        <v>125.9</v>
      </c>
      <c r="P66" s="2">
        <v>125.8</v>
      </c>
      <c r="Q66" s="2">
        <v>124.3</v>
      </c>
      <c r="R66" s="2">
        <v>119.6</v>
      </c>
      <c r="S66" s="2">
        <v>114.9</v>
      </c>
      <c r="T66" s="2">
        <v>118.9</v>
      </c>
      <c r="U66" s="2">
        <v>116.7</v>
      </c>
      <c r="V66" s="2">
        <v>112</v>
      </c>
      <c r="W66" s="2">
        <v>115.8</v>
      </c>
      <c r="X66" s="2">
        <v>112.6</v>
      </c>
      <c r="Y66" s="2">
        <v>111</v>
      </c>
      <c r="Z66" s="2">
        <v>113.6</v>
      </c>
      <c r="AA66" s="2">
        <v>120.2</v>
      </c>
      <c r="AB66" s="2">
        <v>110.1</v>
      </c>
      <c r="AC66" s="2">
        <v>113.7</v>
      </c>
      <c r="AD66" s="2">
        <f>AVERAGE(All_India_Index_Upto_April23_CPI_data[[#This Row],[Cereals and products]:[Food and beverages]])</f>
        <v>122.11538461538461</v>
      </c>
      <c r="AE66" s="2">
        <f>AVERAGE(All_India_Index_Upto_April23_CPI_data[[#This Row],[Recreation and amusement]],All_India_Index_Upto_April23_CPI_data[[#This Row],[Pan, tobacco and intoxicants]])</f>
        <v>118.94999999999999</v>
      </c>
      <c r="AF66" s="2">
        <f>AVERAGE(All_India_Index_Upto_April23_CPI_data[[#This Row],[Household goods and services]],All_India_Index_Upto_April23_CPI_data[[#This Row],[Housing]])</f>
        <v>116.25</v>
      </c>
      <c r="AG66" s="2">
        <f>AVERAGE(All_India_Index_Upto_April23_CPI_data[[#This Row],[Personal care and effects]],All_India_Index_Upto_April23_CPI_data[[#This Row],[Health]])</f>
        <v>111.35</v>
      </c>
      <c r="AH66" s="2">
        <f>AVERAGE(All_India_Index_Upto_April23_CPI_data[[#This Row],[Clothing]:[Clothing and footwear]])</f>
        <v>117.8</v>
      </c>
      <c r="AI66" s="2">
        <v>119.1</v>
      </c>
      <c r="AJ66" s="1">
        <f>(All_India_Index_Upto_April23_CPI_data[[#This Row],[General index]]-AI63)/AI63</f>
        <v>-8.3892617449671583E-4</v>
      </c>
      <c r="BO66" t="s">
        <v>32</v>
      </c>
      <c r="BP66">
        <v>2022</v>
      </c>
      <c r="BQ66" t="s">
        <v>42</v>
      </c>
      <c r="BR66" s="11">
        <f t="shared" si="0"/>
        <v>44835</v>
      </c>
      <c r="BS66" s="2">
        <v>166.4</v>
      </c>
      <c r="BT66" s="2">
        <v>214.9</v>
      </c>
      <c r="BU66" s="2">
        <v>171.9</v>
      </c>
      <c r="BV66" s="2">
        <v>171</v>
      </c>
      <c r="BW66" s="2">
        <v>177.7</v>
      </c>
      <c r="BX66" s="2">
        <v>165.7</v>
      </c>
      <c r="BY66" s="2">
        <v>228.6</v>
      </c>
      <c r="BZ66" s="2">
        <v>169.9</v>
      </c>
      <c r="CA66" s="2">
        <v>123.4</v>
      </c>
      <c r="CB66" s="2">
        <v>196.4</v>
      </c>
      <c r="CC66" s="2">
        <v>161.6</v>
      </c>
      <c r="CD66" s="2">
        <v>191.5</v>
      </c>
      <c r="CE66" s="2">
        <v>183.3</v>
      </c>
      <c r="CF66" s="2">
        <v>200.1</v>
      </c>
      <c r="CG66" s="2">
        <v>175.5</v>
      </c>
      <c r="CH66" s="2">
        <v>162.6</v>
      </c>
      <c r="CI66" s="2">
        <v>173.6</v>
      </c>
      <c r="CJ66" s="2">
        <v>171.2</v>
      </c>
      <c r="CK66" s="2">
        <v>180</v>
      </c>
      <c r="CL66" s="2">
        <v>166</v>
      </c>
      <c r="CM66" s="2">
        <v>174.7</v>
      </c>
      <c r="CN66" s="2">
        <v>158.80000000000001</v>
      </c>
      <c r="CO66" s="2">
        <v>166.3</v>
      </c>
      <c r="CP66" s="2">
        <v>171.2</v>
      </c>
      <c r="CQ66" s="2">
        <v>172.3</v>
      </c>
      <c r="CR66" s="2">
        <v>166.8</v>
      </c>
      <c r="CS66" s="2">
        <v>178.63846153846154</v>
      </c>
      <c r="CT66" s="2">
        <v>183.2</v>
      </c>
      <c r="CU66" s="2">
        <v>168.6</v>
      </c>
      <c r="CV66" s="2">
        <v>173.5</v>
      </c>
      <c r="CW66" s="2">
        <v>170.56666666666669</v>
      </c>
      <c r="CX66" s="2">
        <v>175.3</v>
      </c>
      <c r="CY66" s="1">
        <v>6.8925904652499545E-3</v>
      </c>
      <c r="CZ66">
        <f>VLOOKUP(BR66,'OIL PRICE'!$A$1:$B$27,2,0)</f>
        <v>91.7</v>
      </c>
    </row>
    <row r="67" spans="1:104" x14ac:dyDescent="0.25">
      <c r="A67" t="s">
        <v>33</v>
      </c>
      <c r="B67">
        <v>2014</v>
      </c>
      <c r="C67" t="s">
        <v>42</v>
      </c>
      <c r="D67" s="2">
        <v>123.2</v>
      </c>
      <c r="E67" s="2">
        <v>123.8</v>
      </c>
      <c r="F67" s="2">
        <v>118.1</v>
      </c>
      <c r="G67" s="2">
        <v>123.2</v>
      </c>
      <c r="H67" s="2">
        <v>107.9</v>
      </c>
      <c r="I67" s="2">
        <v>126.4</v>
      </c>
      <c r="J67" s="2">
        <v>156.80000000000001</v>
      </c>
      <c r="K67" s="2">
        <v>116.1</v>
      </c>
      <c r="L67" s="2">
        <v>103.1</v>
      </c>
      <c r="M67" s="2">
        <v>118.1</v>
      </c>
      <c r="N67" s="2">
        <v>116.1</v>
      </c>
      <c r="O67" s="2">
        <v>124.5</v>
      </c>
      <c r="P67" s="2">
        <v>125.4</v>
      </c>
      <c r="Q67" s="2">
        <v>121.1</v>
      </c>
      <c r="R67" s="2">
        <v>121.5</v>
      </c>
      <c r="S67" s="2">
        <v>118.1</v>
      </c>
      <c r="T67" s="2">
        <v>121</v>
      </c>
      <c r="U67" s="2">
        <v>116.7</v>
      </c>
      <c r="V67" s="2">
        <v>114.7</v>
      </c>
      <c r="W67" s="2">
        <v>116.7</v>
      </c>
      <c r="X67" s="2">
        <v>114.3</v>
      </c>
      <c r="Y67" s="2">
        <v>111.8</v>
      </c>
      <c r="Z67" s="2">
        <v>113.3</v>
      </c>
      <c r="AA67" s="2">
        <v>118.8</v>
      </c>
      <c r="AB67" s="2">
        <v>109.6</v>
      </c>
      <c r="AC67" s="2">
        <v>113.9</v>
      </c>
      <c r="AD67" s="2">
        <f>AVERAGE(All_India_Index_Upto_April23_CPI_data[[#This Row],[Cereals and products]:[Food and beverages]])</f>
        <v>121.74615384615385</v>
      </c>
      <c r="AE67" s="2">
        <f>AVERAGE(All_India_Index_Upto_April23_CPI_data[[#This Row],[Recreation and amusement]],All_India_Index_Upto_April23_CPI_data[[#This Row],[Pan, tobacco and intoxicants]])</f>
        <v>117.19999999999999</v>
      </c>
      <c r="AF67" s="2">
        <f>AVERAGE(All_India_Index_Upto_April23_CPI_data[[#This Row],[Household goods and services]],All_India_Index_Upto_April23_CPI_data[[#This Row],[Housing]])</f>
        <v>116.7</v>
      </c>
      <c r="AG67" s="2">
        <f>AVERAGE(All_India_Index_Upto_April23_CPI_data[[#This Row],[Personal care and effects]],All_India_Index_Upto_April23_CPI_data[[#This Row],[Health]])</f>
        <v>111.94999999999999</v>
      </c>
      <c r="AH67" s="2">
        <f>AVERAGE(All_India_Index_Upto_April23_CPI_data[[#This Row],[Clothing]:[Clothing and footwear]])</f>
        <v>120.2</v>
      </c>
      <c r="AI67" s="2">
        <v>120.1</v>
      </c>
      <c r="AJ67" s="1">
        <f>(All_India_Index_Upto_April23_CPI_data[[#This Row],[General index]]-AI64)/AI64</f>
        <v>0</v>
      </c>
      <c r="BO67" t="s">
        <v>33</v>
      </c>
      <c r="BP67">
        <v>2022</v>
      </c>
      <c r="BQ67" t="s">
        <v>42</v>
      </c>
      <c r="BR67" s="11">
        <f t="shared" ref="BR67:BR79" si="3">DATE(BP67,MONTH(DATEVALUE("1 "&amp;BQ67)),1)</f>
        <v>44835</v>
      </c>
      <c r="BS67" s="2">
        <v>165.2</v>
      </c>
      <c r="BT67" s="2">
        <v>210.9</v>
      </c>
      <c r="BU67" s="2">
        <v>170.9</v>
      </c>
      <c r="BV67" s="2">
        <v>170.9</v>
      </c>
      <c r="BW67" s="2">
        <v>186.5</v>
      </c>
      <c r="BX67" s="2">
        <v>163.80000000000001</v>
      </c>
      <c r="BY67" s="2">
        <v>199.7</v>
      </c>
      <c r="BZ67" s="2">
        <v>169.8</v>
      </c>
      <c r="CA67" s="2">
        <v>121.9</v>
      </c>
      <c r="CB67" s="2">
        <v>199.9</v>
      </c>
      <c r="CC67" s="2">
        <v>169.9</v>
      </c>
      <c r="CD67" s="2">
        <v>188.3</v>
      </c>
      <c r="CE67" s="2">
        <v>179.6</v>
      </c>
      <c r="CF67" s="2">
        <v>196.3</v>
      </c>
      <c r="CG67" s="2">
        <v>181.9</v>
      </c>
      <c r="CH67" s="2">
        <v>175.3</v>
      </c>
      <c r="CI67" s="2">
        <v>181</v>
      </c>
      <c r="CJ67" s="2">
        <v>171.2</v>
      </c>
      <c r="CK67" s="2">
        <v>180.5</v>
      </c>
      <c r="CL67" s="2">
        <v>170.4</v>
      </c>
      <c r="CM67" s="2">
        <v>178.7</v>
      </c>
      <c r="CN67" s="2">
        <v>162.9</v>
      </c>
      <c r="CO67" s="2">
        <v>168.2</v>
      </c>
      <c r="CP67" s="2">
        <v>173.4</v>
      </c>
      <c r="CQ67" s="2">
        <v>172.1</v>
      </c>
      <c r="CR67" s="2">
        <v>170.5</v>
      </c>
      <c r="CS67" s="2">
        <v>176.71538461538464</v>
      </c>
      <c r="CT67" s="2">
        <v>182.25</v>
      </c>
      <c r="CU67" s="2">
        <v>170.8</v>
      </c>
      <c r="CV67" s="2">
        <v>175.39999999999998</v>
      </c>
      <c r="CW67" s="2">
        <v>179.4</v>
      </c>
      <c r="CX67" s="2">
        <v>176.7</v>
      </c>
      <c r="CY67" s="1">
        <v>7.9863091842554308E-3</v>
      </c>
      <c r="CZ67">
        <f>VLOOKUP(BR67,'OIL PRICE'!$A$1:$B$27,2,0)</f>
        <v>91.7</v>
      </c>
    </row>
    <row r="68" spans="1:104" x14ac:dyDescent="0.25">
      <c r="A68" t="s">
        <v>30</v>
      </c>
      <c r="B68">
        <v>2014</v>
      </c>
      <c r="C68" t="s">
        <v>43</v>
      </c>
      <c r="D68" s="2">
        <v>122.7</v>
      </c>
      <c r="E68" s="2">
        <v>122.6</v>
      </c>
      <c r="F68" s="2">
        <v>119.9</v>
      </c>
      <c r="G68" s="2">
        <v>124</v>
      </c>
      <c r="H68" s="2">
        <v>110.5</v>
      </c>
      <c r="I68" s="2">
        <v>128.80000000000001</v>
      </c>
      <c r="J68" s="2">
        <v>152</v>
      </c>
      <c r="K68" s="2">
        <v>116.2</v>
      </c>
      <c r="L68" s="2">
        <v>103.3</v>
      </c>
      <c r="M68" s="2">
        <v>115.8</v>
      </c>
      <c r="N68" s="2">
        <v>116.8</v>
      </c>
      <c r="O68" s="2">
        <v>124.5</v>
      </c>
      <c r="P68" s="2">
        <v>124.9</v>
      </c>
      <c r="Q68" s="2">
        <v>120.8</v>
      </c>
      <c r="R68" s="2">
        <v>123.3</v>
      </c>
      <c r="S68" s="2">
        <v>120.5</v>
      </c>
      <c r="T68" s="2">
        <v>122.9</v>
      </c>
      <c r="U68" s="2">
        <v>0</v>
      </c>
      <c r="V68" s="2">
        <v>117.3</v>
      </c>
      <c r="W68" s="2">
        <v>118.1</v>
      </c>
      <c r="X68" s="2">
        <v>115.9</v>
      </c>
      <c r="Y68" s="2">
        <v>112</v>
      </c>
      <c r="Z68" s="2">
        <v>113.3</v>
      </c>
      <c r="AA68" s="2">
        <v>117.2</v>
      </c>
      <c r="AB68" s="2">
        <v>108.8</v>
      </c>
      <c r="AC68" s="2">
        <v>114.1</v>
      </c>
      <c r="AD68" s="2">
        <f>AVERAGE(All_India_Index_Upto_April23_CPI_data[[#This Row],[Cereals and products]:[Food and beverages]])</f>
        <v>121.69230769230769</v>
      </c>
      <c r="AE68" s="2">
        <f>AVERAGE(All_India_Index_Upto_April23_CPI_data[[#This Row],[Recreation and amusement]],All_India_Index_Upto_April23_CPI_data[[#This Row],[Pan, tobacco and intoxicants]])</f>
        <v>117.05</v>
      </c>
      <c r="AF68" s="2">
        <f>AVERAGE(All_India_Index_Upto_April23_CPI_data[[#This Row],[Household goods and services]],All_India_Index_Upto_April23_CPI_data[[#This Row],[Housing]])</f>
        <v>59.05</v>
      </c>
      <c r="AG68" s="2">
        <f>AVERAGE(All_India_Index_Upto_April23_CPI_data[[#This Row],[Personal care and effects]],All_India_Index_Upto_April23_CPI_data[[#This Row],[Health]])</f>
        <v>112.35</v>
      </c>
      <c r="AH68" s="2">
        <f>AVERAGE(All_India_Index_Upto_April23_CPI_data[[#This Row],[Clothing]:[Clothing and footwear]])</f>
        <v>122.23333333333335</v>
      </c>
      <c r="AI68" s="2">
        <v>121.1</v>
      </c>
      <c r="AJ68" s="1">
        <f>(All_India_Index_Upto_April23_CPI_data[[#This Row],[General index]]-AI65)/AI65</f>
        <v>8.2644628099168857E-4</v>
      </c>
      <c r="BO68" t="s">
        <v>30</v>
      </c>
      <c r="BP68">
        <v>2022</v>
      </c>
      <c r="BQ68" t="s">
        <v>43</v>
      </c>
      <c r="BR68" s="11">
        <f t="shared" si="3"/>
        <v>44866</v>
      </c>
      <c r="BS68" s="2">
        <v>166.9</v>
      </c>
      <c r="BT68" s="2">
        <v>207.2</v>
      </c>
      <c r="BU68" s="2">
        <v>180.2</v>
      </c>
      <c r="BV68" s="2">
        <v>172.3</v>
      </c>
      <c r="BW68" s="2">
        <v>194</v>
      </c>
      <c r="BX68" s="2">
        <v>159.1</v>
      </c>
      <c r="BY68" s="2">
        <v>171.6</v>
      </c>
      <c r="BZ68" s="2">
        <v>170.2</v>
      </c>
      <c r="CA68" s="2">
        <v>121.5</v>
      </c>
      <c r="CB68" s="2">
        <v>204.8</v>
      </c>
      <c r="CC68" s="2">
        <v>176.4</v>
      </c>
      <c r="CD68" s="2">
        <v>186.9</v>
      </c>
      <c r="CE68" s="2">
        <v>176.6</v>
      </c>
      <c r="CF68" s="2">
        <v>195.5</v>
      </c>
      <c r="CG68" s="2">
        <v>187.2</v>
      </c>
      <c r="CH68" s="2">
        <v>185.2</v>
      </c>
      <c r="CI68" s="2">
        <v>186.9</v>
      </c>
      <c r="CJ68" s="2">
        <v>0</v>
      </c>
      <c r="CK68" s="2">
        <v>181.9</v>
      </c>
      <c r="CL68" s="2">
        <v>175.5</v>
      </c>
      <c r="CM68" s="2">
        <v>182.3</v>
      </c>
      <c r="CN68" s="2">
        <v>167.5</v>
      </c>
      <c r="CO68" s="2">
        <v>170.8</v>
      </c>
      <c r="CP68" s="2">
        <v>176.9</v>
      </c>
      <c r="CQ68" s="2">
        <v>173.4</v>
      </c>
      <c r="CR68" s="2">
        <v>174.6</v>
      </c>
      <c r="CS68" s="2">
        <v>175.97692307692307</v>
      </c>
      <c r="CT68" s="2">
        <v>183.15</v>
      </c>
      <c r="CU68" s="2">
        <v>87.75</v>
      </c>
      <c r="CV68" s="2">
        <v>177.85000000000002</v>
      </c>
      <c r="CW68" s="2">
        <v>186.43333333333331</v>
      </c>
      <c r="CX68" s="2">
        <v>177.8</v>
      </c>
      <c r="CY68" s="1">
        <v>-5.6211354693644919E-4</v>
      </c>
      <c r="CZ68">
        <f>VLOOKUP(BR68,'OIL PRICE'!$A$1:$B$27,2,0)</f>
        <v>87.55</v>
      </c>
    </row>
    <row r="69" spans="1:104" x14ac:dyDescent="0.25">
      <c r="A69" t="s">
        <v>32</v>
      </c>
      <c r="B69">
        <v>2014</v>
      </c>
      <c r="C69" t="s">
        <v>43</v>
      </c>
      <c r="D69" s="2">
        <v>124.5</v>
      </c>
      <c r="E69" s="2">
        <v>125.6</v>
      </c>
      <c r="F69" s="2">
        <v>122.7</v>
      </c>
      <c r="G69" s="2">
        <v>124.6</v>
      </c>
      <c r="H69" s="2">
        <v>103.2</v>
      </c>
      <c r="I69" s="2">
        <v>122.2</v>
      </c>
      <c r="J69" s="2">
        <v>153.19999999999999</v>
      </c>
      <c r="K69" s="2">
        <v>119.3</v>
      </c>
      <c r="L69" s="2">
        <v>99.8</v>
      </c>
      <c r="M69" s="2">
        <v>124.6</v>
      </c>
      <c r="N69" s="2">
        <v>115.8</v>
      </c>
      <c r="O69" s="2">
        <v>126.9</v>
      </c>
      <c r="P69" s="2">
        <v>125.4</v>
      </c>
      <c r="Q69" s="2">
        <v>125.8</v>
      </c>
      <c r="R69" s="2">
        <v>120.3</v>
      </c>
      <c r="S69" s="2">
        <v>115.4</v>
      </c>
      <c r="T69" s="2">
        <v>119.5</v>
      </c>
      <c r="U69" s="2">
        <v>117.1</v>
      </c>
      <c r="V69" s="2">
        <v>112.6</v>
      </c>
      <c r="W69" s="2">
        <v>116.4</v>
      </c>
      <c r="X69" s="2">
        <v>113</v>
      </c>
      <c r="Y69" s="2">
        <v>109.7</v>
      </c>
      <c r="Z69" s="2">
        <v>114</v>
      </c>
      <c r="AA69" s="2">
        <v>120.3</v>
      </c>
      <c r="AB69" s="2">
        <v>109.6</v>
      </c>
      <c r="AC69" s="2">
        <v>113.4</v>
      </c>
      <c r="AD69" s="2">
        <f>AVERAGE(All_India_Index_Upto_April23_CPI_data[[#This Row],[Cereals and products]:[Food and beverages]])</f>
        <v>122.13846153846154</v>
      </c>
      <c r="AE69" s="2">
        <f>AVERAGE(All_India_Index_Upto_April23_CPI_data[[#This Row],[Recreation and amusement]],All_India_Index_Upto_April23_CPI_data[[#This Row],[Pan, tobacco and intoxicants]])</f>
        <v>119.9</v>
      </c>
      <c r="AF69" s="2">
        <f>AVERAGE(All_India_Index_Upto_April23_CPI_data[[#This Row],[Household goods and services]],All_India_Index_Upto_April23_CPI_data[[#This Row],[Housing]])</f>
        <v>116.75</v>
      </c>
      <c r="AG69" s="2">
        <f>AVERAGE(All_India_Index_Upto_April23_CPI_data[[#This Row],[Personal care and effects]],All_India_Index_Upto_April23_CPI_data[[#This Row],[Health]])</f>
        <v>111.3</v>
      </c>
      <c r="AH69" s="2">
        <f>AVERAGE(All_India_Index_Upto_April23_CPI_data[[#This Row],[Clothing]:[Clothing and footwear]])</f>
        <v>118.39999999999999</v>
      </c>
      <c r="AI69" s="2">
        <v>119</v>
      </c>
      <c r="AJ69" s="1">
        <f>(All_India_Index_Upto_April23_CPI_data[[#This Row],[General index]]-AI66)/AI66</f>
        <v>-8.3963056255242918E-4</v>
      </c>
      <c r="BO69" t="s">
        <v>32</v>
      </c>
      <c r="BP69">
        <v>2022</v>
      </c>
      <c r="BQ69" t="s">
        <v>43</v>
      </c>
      <c r="BR69" s="11">
        <f t="shared" si="3"/>
        <v>44866</v>
      </c>
      <c r="BS69" s="2">
        <v>168.4</v>
      </c>
      <c r="BT69" s="2">
        <v>213.4</v>
      </c>
      <c r="BU69" s="2">
        <v>183.2</v>
      </c>
      <c r="BV69" s="2">
        <v>172.3</v>
      </c>
      <c r="BW69" s="2">
        <v>180</v>
      </c>
      <c r="BX69" s="2">
        <v>162.6</v>
      </c>
      <c r="BY69" s="2">
        <v>205.5</v>
      </c>
      <c r="BZ69" s="2">
        <v>171</v>
      </c>
      <c r="CA69" s="2">
        <v>123.4</v>
      </c>
      <c r="CB69" s="2">
        <v>198.8</v>
      </c>
      <c r="CC69" s="2">
        <v>162.1</v>
      </c>
      <c r="CD69" s="2">
        <v>192.4</v>
      </c>
      <c r="CE69" s="2">
        <v>181.3</v>
      </c>
      <c r="CF69" s="2">
        <v>200.6</v>
      </c>
      <c r="CG69" s="2">
        <v>176.7</v>
      </c>
      <c r="CH69" s="2">
        <v>163.5</v>
      </c>
      <c r="CI69" s="2">
        <v>174.7</v>
      </c>
      <c r="CJ69" s="2">
        <v>171.8</v>
      </c>
      <c r="CK69" s="2">
        <v>180.3</v>
      </c>
      <c r="CL69" s="2">
        <v>166.9</v>
      </c>
      <c r="CM69" s="2">
        <v>175.8</v>
      </c>
      <c r="CN69" s="2">
        <v>158.9</v>
      </c>
      <c r="CO69" s="2">
        <v>166.7</v>
      </c>
      <c r="CP69" s="2">
        <v>171.5</v>
      </c>
      <c r="CQ69" s="2">
        <v>173.8</v>
      </c>
      <c r="CR69" s="2">
        <v>167.4</v>
      </c>
      <c r="CS69" s="2">
        <v>178.03076923076924</v>
      </c>
      <c r="CT69" s="2">
        <v>183.64999999999998</v>
      </c>
      <c r="CU69" s="2">
        <v>169.35000000000002</v>
      </c>
      <c r="CV69" s="2">
        <v>174.8</v>
      </c>
      <c r="CW69" s="2">
        <v>171.63333333333333</v>
      </c>
      <c r="CX69" s="2">
        <v>174.1</v>
      </c>
      <c r="CY69" s="1">
        <v>-6.8454078722191497E-3</v>
      </c>
      <c r="CZ69">
        <f>VLOOKUP(BR69,'OIL PRICE'!$A$1:$B$27,2,0)</f>
        <v>87.55</v>
      </c>
    </row>
    <row r="70" spans="1:104" x14ac:dyDescent="0.25">
      <c r="A70" t="s">
        <v>33</v>
      </c>
      <c r="B70">
        <v>2014</v>
      </c>
      <c r="C70" t="s">
        <v>43</v>
      </c>
      <c r="D70" s="2">
        <v>123.3</v>
      </c>
      <c r="E70" s="2">
        <v>123.7</v>
      </c>
      <c r="F70" s="2">
        <v>121</v>
      </c>
      <c r="G70" s="2">
        <v>124.2</v>
      </c>
      <c r="H70" s="2">
        <v>107.8</v>
      </c>
      <c r="I70" s="2">
        <v>125.7</v>
      </c>
      <c r="J70" s="2">
        <v>152.4</v>
      </c>
      <c r="K70" s="2">
        <v>117.2</v>
      </c>
      <c r="L70" s="2">
        <v>102.1</v>
      </c>
      <c r="M70" s="2">
        <v>118.7</v>
      </c>
      <c r="N70" s="2">
        <v>116.4</v>
      </c>
      <c r="O70" s="2">
        <v>125.6</v>
      </c>
      <c r="P70" s="2">
        <v>125.1</v>
      </c>
      <c r="Q70" s="2">
        <v>122.1</v>
      </c>
      <c r="R70" s="2">
        <v>122.1</v>
      </c>
      <c r="S70" s="2">
        <v>118.4</v>
      </c>
      <c r="T70" s="2">
        <v>121.6</v>
      </c>
      <c r="U70" s="2">
        <v>117.1</v>
      </c>
      <c r="V70" s="2">
        <v>115.5</v>
      </c>
      <c r="W70" s="2">
        <v>117.3</v>
      </c>
      <c r="X70" s="2">
        <v>114.8</v>
      </c>
      <c r="Y70" s="2">
        <v>110.8</v>
      </c>
      <c r="Z70" s="2">
        <v>113.7</v>
      </c>
      <c r="AA70" s="2">
        <v>119</v>
      </c>
      <c r="AB70" s="2">
        <v>109.1</v>
      </c>
      <c r="AC70" s="2">
        <v>113.8</v>
      </c>
      <c r="AD70" s="2">
        <f>AVERAGE(All_India_Index_Upto_April23_CPI_data[[#This Row],[Cereals and products]:[Food and beverages]])</f>
        <v>121.78461538461539</v>
      </c>
      <c r="AE70" s="2">
        <f>AVERAGE(All_India_Index_Upto_April23_CPI_data[[#This Row],[Recreation and amusement]],All_India_Index_Upto_April23_CPI_data[[#This Row],[Pan, tobacco and intoxicants]])</f>
        <v>117.9</v>
      </c>
      <c r="AF70" s="2">
        <f>AVERAGE(All_India_Index_Upto_April23_CPI_data[[#This Row],[Household goods and services]],All_India_Index_Upto_April23_CPI_data[[#This Row],[Housing]])</f>
        <v>117.19999999999999</v>
      </c>
      <c r="AG70" s="2">
        <f>AVERAGE(All_India_Index_Upto_April23_CPI_data[[#This Row],[Personal care and effects]],All_India_Index_Upto_April23_CPI_data[[#This Row],[Health]])</f>
        <v>111.94999999999999</v>
      </c>
      <c r="AH70" s="2">
        <f>AVERAGE(All_India_Index_Upto_April23_CPI_data[[#This Row],[Clothing]:[Clothing and footwear]])</f>
        <v>120.7</v>
      </c>
      <c r="AI70" s="2">
        <v>120.1</v>
      </c>
      <c r="AJ70" s="1">
        <f>(All_India_Index_Upto_April23_CPI_data[[#This Row],[General index]]-AI67)/AI67</f>
        <v>0</v>
      </c>
      <c r="BO70" t="s">
        <v>33</v>
      </c>
      <c r="BP70">
        <v>2022</v>
      </c>
      <c r="BQ70" t="s">
        <v>43</v>
      </c>
      <c r="BR70" s="11">
        <f t="shared" si="3"/>
        <v>44866</v>
      </c>
      <c r="BS70" s="2">
        <v>167.4</v>
      </c>
      <c r="BT70" s="2">
        <v>209.4</v>
      </c>
      <c r="BU70" s="2">
        <v>181.4</v>
      </c>
      <c r="BV70" s="2">
        <v>172.3</v>
      </c>
      <c r="BW70" s="2">
        <v>188.9</v>
      </c>
      <c r="BX70" s="2">
        <v>160.69999999999999</v>
      </c>
      <c r="BY70" s="2">
        <v>183.1</v>
      </c>
      <c r="BZ70" s="2">
        <v>170.5</v>
      </c>
      <c r="CA70" s="2">
        <v>122.1</v>
      </c>
      <c r="CB70" s="2">
        <v>202.8</v>
      </c>
      <c r="CC70" s="2">
        <v>170.4</v>
      </c>
      <c r="CD70" s="2">
        <v>189.5</v>
      </c>
      <c r="CE70" s="2">
        <v>178.3</v>
      </c>
      <c r="CF70" s="2">
        <v>196.9</v>
      </c>
      <c r="CG70" s="2">
        <v>183.1</v>
      </c>
      <c r="CH70" s="2">
        <v>176.2</v>
      </c>
      <c r="CI70" s="2">
        <v>182.1</v>
      </c>
      <c r="CJ70" s="2">
        <v>171.8</v>
      </c>
      <c r="CK70" s="2">
        <v>181.3</v>
      </c>
      <c r="CL70" s="2">
        <v>171.4</v>
      </c>
      <c r="CM70" s="2">
        <v>179.8</v>
      </c>
      <c r="CN70" s="2">
        <v>163</v>
      </c>
      <c r="CO70" s="2">
        <v>168.5</v>
      </c>
      <c r="CP70" s="2">
        <v>173.7</v>
      </c>
      <c r="CQ70" s="2">
        <v>173.6</v>
      </c>
      <c r="CR70" s="2">
        <v>171.1</v>
      </c>
      <c r="CS70" s="2">
        <v>176.67692307692309</v>
      </c>
      <c r="CT70" s="2">
        <v>182.7</v>
      </c>
      <c r="CU70" s="2">
        <v>171.60000000000002</v>
      </c>
      <c r="CV70" s="2">
        <v>176.7</v>
      </c>
      <c r="CW70" s="2">
        <v>180.46666666666667</v>
      </c>
      <c r="CX70" s="2">
        <v>176.5</v>
      </c>
      <c r="CY70" s="1">
        <v>-1.1318619128465684E-3</v>
      </c>
      <c r="CZ70">
        <f>VLOOKUP(BR70,'OIL PRICE'!$A$1:$B$27,2,0)</f>
        <v>87.55</v>
      </c>
    </row>
    <row r="71" spans="1:104" x14ac:dyDescent="0.25">
      <c r="A71" t="s">
        <v>30</v>
      </c>
      <c r="B71">
        <v>2014</v>
      </c>
      <c r="C71" t="s">
        <v>44</v>
      </c>
      <c r="D71" s="2">
        <v>122.4</v>
      </c>
      <c r="E71" s="2">
        <v>122.4</v>
      </c>
      <c r="F71" s="2">
        <v>121.8</v>
      </c>
      <c r="G71" s="2">
        <v>124.2</v>
      </c>
      <c r="H71" s="2">
        <v>110.2</v>
      </c>
      <c r="I71" s="2">
        <v>128.6</v>
      </c>
      <c r="J71" s="2">
        <v>140.30000000000001</v>
      </c>
      <c r="K71" s="2">
        <v>116.3</v>
      </c>
      <c r="L71" s="2">
        <v>102</v>
      </c>
      <c r="M71" s="2">
        <v>116</v>
      </c>
      <c r="N71" s="2">
        <v>117.3</v>
      </c>
      <c r="O71" s="2">
        <v>124.8</v>
      </c>
      <c r="P71" s="2">
        <v>123.3</v>
      </c>
      <c r="Q71" s="2">
        <v>121.7</v>
      </c>
      <c r="R71" s="2">
        <v>123.8</v>
      </c>
      <c r="S71" s="2">
        <v>120.6</v>
      </c>
      <c r="T71" s="2">
        <v>123.3</v>
      </c>
      <c r="U71" s="2">
        <v>0</v>
      </c>
      <c r="V71" s="2">
        <v>117.4</v>
      </c>
      <c r="W71" s="2">
        <v>118.2</v>
      </c>
      <c r="X71" s="2">
        <v>116.2</v>
      </c>
      <c r="Y71" s="2">
        <v>111.5</v>
      </c>
      <c r="Z71" s="2">
        <v>113.3</v>
      </c>
      <c r="AA71" s="2">
        <v>117.7</v>
      </c>
      <c r="AB71" s="2">
        <v>109.4</v>
      </c>
      <c r="AC71" s="2">
        <v>114.2</v>
      </c>
      <c r="AD71" s="2">
        <f>AVERAGE(All_India_Index_Upto_April23_CPI_data[[#This Row],[Cereals and products]:[Food and beverages]])</f>
        <v>120.73846153846154</v>
      </c>
      <c r="AE71" s="2">
        <f>AVERAGE(All_India_Index_Upto_April23_CPI_data[[#This Row],[Recreation and amusement]],All_India_Index_Upto_April23_CPI_data[[#This Row],[Pan, tobacco and intoxicants]])</f>
        <v>117.5</v>
      </c>
      <c r="AF71" s="2">
        <f>AVERAGE(All_India_Index_Upto_April23_CPI_data[[#This Row],[Household goods and services]],All_India_Index_Upto_April23_CPI_data[[#This Row],[Housing]])</f>
        <v>59.1</v>
      </c>
      <c r="AG71" s="2">
        <f>AVERAGE(All_India_Index_Upto_April23_CPI_data[[#This Row],[Personal care and effects]],All_India_Index_Upto_April23_CPI_data[[#This Row],[Health]])</f>
        <v>112.80000000000001</v>
      </c>
      <c r="AH71" s="2">
        <f>AVERAGE(All_India_Index_Upto_April23_CPI_data[[#This Row],[Clothing]:[Clothing and footwear]])</f>
        <v>122.56666666666666</v>
      </c>
      <c r="AI71" s="2">
        <v>120.3</v>
      </c>
      <c r="AJ71" s="1">
        <f>(All_India_Index_Upto_April23_CPI_data[[#This Row],[General index]]-AI68)/AI68</f>
        <v>-6.606110652353404E-3</v>
      </c>
      <c r="BO71" t="s">
        <v>30</v>
      </c>
      <c r="BP71">
        <v>2022</v>
      </c>
      <c r="BQ71" t="s">
        <v>44</v>
      </c>
      <c r="BR71" s="11">
        <f t="shared" si="3"/>
        <v>44896</v>
      </c>
      <c r="BS71" s="2">
        <v>168.8</v>
      </c>
      <c r="BT71" s="2">
        <v>206.9</v>
      </c>
      <c r="BU71" s="2">
        <v>189.1</v>
      </c>
      <c r="BV71" s="2">
        <v>173.4</v>
      </c>
      <c r="BW71" s="2">
        <v>193.9</v>
      </c>
      <c r="BX71" s="2">
        <v>156.69999999999999</v>
      </c>
      <c r="BY71" s="2">
        <v>150.19999999999999</v>
      </c>
      <c r="BZ71" s="2">
        <v>170.5</v>
      </c>
      <c r="CA71" s="2">
        <v>121.2</v>
      </c>
      <c r="CB71" s="2">
        <v>207.5</v>
      </c>
      <c r="CC71" s="2">
        <v>176.8</v>
      </c>
      <c r="CD71" s="2">
        <v>187.7</v>
      </c>
      <c r="CE71" s="2">
        <v>174.4</v>
      </c>
      <c r="CF71" s="2">
        <v>195.9</v>
      </c>
      <c r="CG71" s="2">
        <v>188.1</v>
      </c>
      <c r="CH71" s="2">
        <v>185.9</v>
      </c>
      <c r="CI71" s="2">
        <v>187.8</v>
      </c>
      <c r="CJ71" s="2">
        <v>0</v>
      </c>
      <c r="CK71" s="2">
        <v>182.8</v>
      </c>
      <c r="CL71" s="2">
        <v>176.4</v>
      </c>
      <c r="CM71" s="2">
        <v>183.5</v>
      </c>
      <c r="CN71" s="2">
        <v>167.8</v>
      </c>
      <c r="CO71" s="2">
        <v>171.2</v>
      </c>
      <c r="CP71" s="2">
        <v>177.3</v>
      </c>
      <c r="CQ71" s="2">
        <v>175.7</v>
      </c>
      <c r="CR71" s="2">
        <v>175.5</v>
      </c>
      <c r="CS71" s="2">
        <v>175.16153846153844</v>
      </c>
      <c r="CT71" s="2">
        <v>183.55</v>
      </c>
      <c r="CU71" s="2">
        <v>88.2</v>
      </c>
      <c r="CV71" s="2">
        <v>179.6</v>
      </c>
      <c r="CW71" s="2">
        <v>187.26666666666665</v>
      </c>
      <c r="CX71" s="2">
        <v>177.1</v>
      </c>
      <c r="CY71" s="1">
        <v>-3.9370078740158434E-3</v>
      </c>
      <c r="CZ71">
        <f>VLOOKUP(BR71,'OIL PRICE'!$A$1:$B$27,2,0)</f>
        <v>78.099999999999994</v>
      </c>
    </row>
    <row r="72" spans="1:104" x14ac:dyDescent="0.25">
      <c r="A72" t="s">
        <v>32</v>
      </c>
      <c r="B72">
        <v>2014</v>
      </c>
      <c r="C72" t="s">
        <v>44</v>
      </c>
      <c r="D72" s="2">
        <v>124</v>
      </c>
      <c r="E72" s="2">
        <v>124.7</v>
      </c>
      <c r="F72" s="2">
        <v>126.3</v>
      </c>
      <c r="G72" s="2">
        <v>124.9</v>
      </c>
      <c r="H72" s="2">
        <v>103</v>
      </c>
      <c r="I72" s="2">
        <v>122.3</v>
      </c>
      <c r="J72" s="2">
        <v>141</v>
      </c>
      <c r="K72" s="2">
        <v>120.1</v>
      </c>
      <c r="L72" s="2">
        <v>97.8</v>
      </c>
      <c r="M72" s="2">
        <v>125.4</v>
      </c>
      <c r="N72" s="2">
        <v>116.1</v>
      </c>
      <c r="O72" s="2">
        <v>127.6</v>
      </c>
      <c r="P72" s="2">
        <v>124</v>
      </c>
      <c r="Q72" s="2">
        <v>126.4</v>
      </c>
      <c r="R72" s="2">
        <v>120.7</v>
      </c>
      <c r="S72" s="2">
        <v>115.8</v>
      </c>
      <c r="T72" s="2">
        <v>120</v>
      </c>
      <c r="U72" s="2">
        <v>116.5</v>
      </c>
      <c r="V72" s="2">
        <v>113</v>
      </c>
      <c r="W72" s="2">
        <v>116.8</v>
      </c>
      <c r="X72" s="2">
        <v>113.2</v>
      </c>
      <c r="Y72" s="2">
        <v>108.8</v>
      </c>
      <c r="Z72" s="2">
        <v>114.3</v>
      </c>
      <c r="AA72" s="2">
        <v>120.7</v>
      </c>
      <c r="AB72" s="2">
        <v>110.4</v>
      </c>
      <c r="AC72" s="2">
        <v>113.4</v>
      </c>
      <c r="AD72" s="2">
        <f>AVERAGE(All_India_Index_Upto_April23_CPI_data[[#This Row],[Cereals and products]:[Food and beverages]])</f>
        <v>121.32307692307691</v>
      </c>
      <c r="AE72" s="2">
        <f>AVERAGE(All_India_Index_Upto_April23_CPI_data[[#This Row],[Recreation and amusement]],All_India_Index_Upto_April23_CPI_data[[#This Row],[Pan, tobacco and intoxicants]])</f>
        <v>120.35</v>
      </c>
      <c r="AF72" s="2">
        <f>AVERAGE(All_India_Index_Upto_April23_CPI_data[[#This Row],[Household goods and services]],All_India_Index_Upto_April23_CPI_data[[#This Row],[Housing]])</f>
        <v>116.65</v>
      </c>
      <c r="AG72" s="2">
        <f>AVERAGE(All_India_Index_Upto_April23_CPI_data[[#This Row],[Personal care and effects]],All_India_Index_Upto_April23_CPI_data[[#This Row],[Health]])</f>
        <v>111.80000000000001</v>
      </c>
      <c r="AH72" s="2">
        <f>AVERAGE(All_India_Index_Upto_April23_CPI_data[[#This Row],[Clothing]:[Clothing and footwear]])</f>
        <v>118.83333333333333</v>
      </c>
      <c r="AI72" s="2">
        <v>118.4</v>
      </c>
      <c r="AJ72" s="1">
        <f>(All_India_Index_Upto_April23_CPI_data[[#This Row],[General index]]-AI69)/AI69</f>
        <v>-5.0420168067226417E-3</v>
      </c>
      <c r="BO72" t="s">
        <v>32</v>
      </c>
      <c r="BP72">
        <v>2022</v>
      </c>
      <c r="BQ72" t="s">
        <v>44</v>
      </c>
      <c r="BR72" s="11">
        <f t="shared" si="3"/>
        <v>44896</v>
      </c>
      <c r="BS72" s="2">
        <v>170.2</v>
      </c>
      <c r="BT72" s="2">
        <v>212.9</v>
      </c>
      <c r="BU72" s="2">
        <v>191.9</v>
      </c>
      <c r="BV72" s="2">
        <v>173.9</v>
      </c>
      <c r="BW72" s="2">
        <v>179.1</v>
      </c>
      <c r="BX72" s="2">
        <v>159.5</v>
      </c>
      <c r="BY72" s="2">
        <v>178.7</v>
      </c>
      <c r="BZ72" s="2">
        <v>171.3</v>
      </c>
      <c r="CA72" s="2">
        <v>123.1</v>
      </c>
      <c r="CB72" s="2">
        <v>200.5</v>
      </c>
      <c r="CC72" s="2">
        <v>162.80000000000001</v>
      </c>
      <c r="CD72" s="2">
        <v>193.3</v>
      </c>
      <c r="CE72" s="2">
        <v>178.6</v>
      </c>
      <c r="CF72" s="2">
        <v>201.1</v>
      </c>
      <c r="CG72" s="2">
        <v>177.7</v>
      </c>
      <c r="CH72" s="2">
        <v>164.5</v>
      </c>
      <c r="CI72" s="2">
        <v>175.7</v>
      </c>
      <c r="CJ72" s="2">
        <v>170.7</v>
      </c>
      <c r="CK72" s="2">
        <v>180.6</v>
      </c>
      <c r="CL72" s="2">
        <v>167.3</v>
      </c>
      <c r="CM72" s="2">
        <v>177.2</v>
      </c>
      <c r="CN72" s="2">
        <v>159.4</v>
      </c>
      <c r="CO72" s="2">
        <v>167.1</v>
      </c>
      <c r="CP72" s="2">
        <v>171.8</v>
      </c>
      <c r="CQ72" s="2">
        <v>176</v>
      </c>
      <c r="CR72" s="2">
        <v>168.2</v>
      </c>
      <c r="CS72" s="2">
        <v>176.59999999999997</v>
      </c>
      <c r="CT72" s="2">
        <v>184.1</v>
      </c>
      <c r="CU72" s="2">
        <v>169</v>
      </c>
      <c r="CV72" s="2">
        <v>176.6</v>
      </c>
      <c r="CW72" s="2">
        <v>172.63333333333333</v>
      </c>
      <c r="CX72" s="2">
        <v>174.1</v>
      </c>
      <c r="CY72" s="1">
        <v>0</v>
      </c>
      <c r="CZ72">
        <f>VLOOKUP(BR72,'OIL PRICE'!$A$1:$B$27,2,0)</f>
        <v>78.099999999999994</v>
      </c>
    </row>
    <row r="73" spans="1:104" x14ac:dyDescent="0.25">
      <c r="A73" t="s">
        <v>33</v>
      </c>
      <c r="B73">
        <v>2014</v>
      </c>
      <c r="C73" t="s">
        <v>44</v>
      </c>
      <c r="D73" s="2">
        <v>122.9</v>
      </c>
      <c r="E73" s="2">
        <v>123.2</v>
      </c>
      <c r="F73" s="2">
        <v>123.5</v>
      </c>
      <c r="G73" s="2">
        <v>124.5</v>
      </c>
      <c r="H73" s="2">
        <v>107.6</v>
      </c>
      <c r="I73" s="2">
        <v>125.7</v>
      </c>
      <c r="J73" s="2">
        <v>140.5</v>
      </c>
      <c r="K73" s="2">
        <v>117.6</v>
      </c>
      <c r="L73" s="2">
        <v>100.6</v>
      </c>
      <c r="M73" s="2">
        <v>119.1</v>
      </c>
      <c r="N73" s="2">
        <v>116.8</v>
      </c>
      <c r="O73" s="2">
        <v>126.1</v>
      </c>
      <c r="P73" s="2">
        <v>123.6</v>
      </c>
      <c r="Q73" s="2">
        <v>123</v>
      </c>
      <c r="R73" s="2">
        <v>122.6</v>
      </c>
      <c r="S73" s="2">
        <v>118.6</v>
      </c>
      <c r="T73" s="2">
        <v>122</v>
      </c>
      <c r="U73" s="2">
        <v>116.5</v>
      </c>
      <c r="V73" s="2">
        <v>115.7</v>
      </c>
      <c r="W73" s="2">
        <v>117.5</v>
      </c>
      <c r="X73" s="2">
        <v>115.1</v>
      </c>
      <c r="Y73" s="2">
        <v>110.1</v>
      </c>
      <c r="Z73" s="2">
        <v>113.9</v>
      </c>
      <c r="AA73" s="2">
        <v>119.5</v>
      </c>
      <c r="AB73" s="2">
        <v>109.8</v>
      </c>
      <c r="AC73" s="2">
        <v>113.8</v>
      </c>
      <c r="AD73" s="2">
        <f>AVERAGE(All_India_Index_Upto_April23_CPI_data[[#This Row],[Cereals and products]:[Food and beverages]])</f>
        <v>120.89999999999999</v>
      </c>
      <c r="AE73" s="2">
        <f>AVERAGE(All_India_Index_Upto_April23_CPI_data[[#This Row],[Recreation and amusement]],All_India_Index_Upto_April23_CPI_data[[#This Row],[Pan, tobacco and intoxicants]])</f>
        <v>118.45</v>
      </c>
      <c r="AF73" s="2">
        <f>AVERAGE(All_India_Index_Upto_April23_CPI_data[[#This Row],[Household goods and services]],All_India_Index_Upto_April23_CPI_data[[#This Row],[Housing]])</f>
        <v>117</v>
      </c>
      <c r="AG73" s="2">
        <f>AVERAGE(All_India_Index_Upto_April23_CPI_data[[#This Row],[Personal care and effects]],All_India_Index_Upto_April23_CPI_data[[#This Row],[Health]])</f>
        <v>112.44999999999999</v>
      </c>
      <c r="AH73" s="2">
        <f>AVERAGE(All_India_Index_Upto_April23_CPI_data[[#This Row],[Clothing]:[Clothing and footwear]])</f>
        <v>121.06666666666666</v>
      </c>
      <c r="AI73" s="2">
        <v>119.4</v>
      </c>
      <c r="AJ73" s="1">
        <f>(All_India_Index_Upto_April23_CPI_data[[#This Row],[General index]]-AI70)/AI70</f>
        <v>-5.8284762697750929E-3</v>
      </c>
      <c r="BO73" t="s">
        <v>33</v>
      </c>
      <c r="BP73">
        <v>2022</v>
      </c>
      <c r="BQ73" t="s">
        <v>44</v>
      </c>
      <c r="BR73" s="11">
        <f t="shared" si="3"/>
        <v>44896</v>
      </c>
      <c r="BS73" s="2">
        <v>169.2</v>
      </c>
      <c r="BT73" s="2">
        <v>209</v>
      </c>
      <c r="BU73" s="2">
        <v>190.2</v>
      </c>
      <c r="BV73" s="2">
        <v>173.6</v>
      </c>
      <c r="BW73" s="2">
        <v>188.5</v>
      </c>
      <c r="BX73" s="2">
        <v>158</v>
      </c>
      <c r="BY73" s="2">
        <v>159.9</v>
      </c>
      <c r="BZ73" s="2">
        <v>170.8</v>
      </c>
      <c r="CA73" s="2">
        <v>121.8</v>
      </c>
      <c r="CB73" s="2">
        <v>205.2</v>
      </c>
      <c r="CC73" s="2">
        <v>171</v>
      </c>
      <c r="CD73" s="2">
        <v>190.3</v>
      </c>
      <c r="CE73" s="2">
        <v>175.9</v>
      </c>
      <c r="CF73" s="2">
        <v>197.3</v>
      </c>
      <c r="CG73" s="2">
        <v>184</v>
      </c>
      <c r="CH73" s="2">
        <v>177</v>
      </c>
      <c r="CI73" s="2">
        <v>183</v>
      </c>
      <c r="CJ73" s="2">
        <v>170.7</v>
      </c>
      <c r="CK73" s="2">
        <v>182</v>
      </c>
      <c r="CL73" s="2">
        <v>172.1</v>
      </c>
      <c r="CM73" s="2">
        <v>181.1</v>
      </c>
      <c r="CN73" s="2">
        <v>163.4</v>
      </c>
      <c r="CO73" s="2">
        <v>168.9</v>
      </c>
      <c r="CP73" s="2">
        <v>174.1</v>
      </c>
      <c r="CQ73" s="2">
        <v>175.8</v>
      </c>
      <c r="CR73" s="2">
        <v>172</v>
      </c>
      <c r="CS73" s="2">
        <v>175.64615384615385</v>
      </c>
      <c r="CT73" s="2">
        <v>183.10000000000002</v>
      </c>
      <c r="CU73" s="2">
        <v>171.39999999999998</v>
      </c>
      <c r="CV73" s="2">
        <v>178.45</v>
      </c>
      <c r="CW73" s="2">
        <v>181.33333333333334</v>
      </c>
      <c r="CX73" s="2">
        <v>175.7</v>
      </c>
      <c r="CY73" s="1">
        <v>-4.5325779036827843E-3</v>
      </c>
      <c r="CZ73">
        <f>VLOOKUP(BR73,'OIL PRICE'!$A$1:$B$27,2,0)</f>
        <v>78.099999999999994</v>
      </c>
    </row>
    <row r="74" spans="1:104" x14ac:dyDescent="0.25">
      <c r="A74" t="s">
        <v>30</v>
      </c>
      <c r="B74">
        <v>2015</v>
      </c>
      <c r="C74" t="s">
        <v>31</v>
      </c>
      <c r="D74" s="2">
        <v>123.1</v>
      </c>
      <c r="E74" s="2">
        <v>123.1</v>
      </c>
      <c r="F74" s="2">
        <v>122.1</v>
      </c>
      <c r="G74" s="2">
        <v>124.9</v>
      </c>
      <c r="H74" s="2">
        <v>111</v>
      </c>
      <c r="I74" s="2">
        <v>130.4</v>
      </c>
      <c r="J74" s="2">
        <v>132.30000000000001</v>
      </c>
      <c r="K74" s="2">
        <v>117.2</v>
      </c>
      <c r="L74" s="2">
        <v>100.5</v>
      </c>
      <c r="M74" s="2">
        <v>117.2</v>
      </c>
      <c r="N74" s="2">
        <v>117.9</v>
      </c>
      <c r="O74" s="2">
        <v>125.6</v>
      </c>
      <c r="P74" s="2">
        <v>122.8</v>
      </c>
      <c r="Q74" s="2">
        <v>122.7</v>
      </c>
      <c r="R74" s="2">
        <v>124.4</v>
      </c>
      <c r="S74" s="2">
        <v>121.6</v>
      </c>
      <c r="T74" s="2">
        <v>124</v>
      </c>
      <c r="U74" s="2">
        <v>0</v>
      </c>
      <c r="V74" s="2">
        <v>118.4</v>
      </c>
      <c r="W74" s="2">
        <v>118.9</v>
      </c>
      <c r="X74" s="2">
        <v>116.6</v>
      </c>
      <c r="Y74" s="2">
        <v>111</v>
      </c>
      <c r="Z74" s="2">
        <v>114</v>
      </c>
      <c r="AA74" s="2">
        <v>118.2</v>
      </c>
      <c r="AB74" s="2">
        <v>110.2</v>
      </c>
      <c r="AC74" s="2">
        <v>114.5</v>
      </c>
      <c r="AD74" s="2">
        <f>AVERAGE(All_India_Index_Upto_April23_CPI_data[[#This Row],[Cereals and products]:[Food and beverages]])</f>
        <v>120.62307692307692</v>
      </c>
      <c r="AE74" s="2">
        <f>AVERAGE(All_India_Index_Upto_April23_CPI_data[[#This Row],[Recreation and amusement]],All_India_Index_Upto_April23_CPI_data[[#This Row],[Pan, tobacco and intoxicants]])</f>
        <v>118.35</v>
      </c>
      <c r="AF74" s="2">
        <f>AVERAGE(All_India_Index_Upto_April23_CPI_data[[#This Row],[Household goods and services]],All_India_Index_Upto_April23_CPI_data[[#This Row],[Housing]])</f>
        <v>59.45</v>
      </c>
      <c r="AG74" s="2">
        <f>AVERAGE(All_India_Index_Upto_April23_CPI_data[[#This Row],[Personal care and effects]],All_India_Index_Upto_April23_CPI_data[[#This Row],[Health]])</f>
        <v>113.4</v>
      </c>
      <c r="AH74" s="2">
        <f>AVERAGE(All_India_Index_Upto_April23_CPI_data[[#This Row],[Clothing]:[Clothing and footwear]])</f>
        <v>123.33333333333333</v>
      </c>
      <c r="AI74" s="2">
        <v>120.3</v>
      </c>
      <c r="AJ74" s="1">
        <f>(All_India_Index_Upto_April23_CPI_data[[#This Row],[General index]]-AI71)/AI71</f>
        <v>0</v>
      </c>
      <c r="BO74" t="s">
        <v>30</v>
      </c>
      <c r="BP74">
        <v>2023</v>
      </c>
      <c r="BQ74" t="s">
        <v>31</v>
      </c>
      <c r="BR74" s="11">
        <f t="shared" si="3"/>
        <v>44927</v>
      </c>
      <c r="BS74" s="2">
        <v>174</v>
      </c>
      <c r="BT74" s="2">
        <v>208.3</v>
      </c>
      <c r="BU74" s="2">
        <v>192.9</v>
      </c>
      <c r="BV74" s="2">
        <v>174.3</v>
      </c>
      <c r="BW74" s="2">
        <v>192.6</v>
      </c>
      <c r="BX74" s="2">
        <v>156.30000000000001</v>
      </c>
      <c r="BY74" s="2">
        <v>142.9</v>
      </c>
      <c r="BZ74" s="2">
        <v>170.7</v>
      </c>
      <c r="CA74" s="2">
        <v>120.3</v>
      </c>
      <c r="CB74" s="2">
        <v>210.5</v>
      </c>
      <c r="CC74" s="2">
        <v>176.9</v>
      </c>
      <c r="CD74" s="2">
        <v>188.5</v>
      </c>
      <c r="CE74" s="2">
        <v>175</v>
      </c>
      <c r="CF74" s="2">
        <v>196.9</v>
      </c>
      <c r="CG74" s="2">
        <v>189</v>
      </c>
      <c r="CH74" s="2">
        <v>186.3</v>
      </c>
      <c r="CI74" s="2">
        <v>188.6</v>
      </c>
      <c r="CJ74" s="2">
        <v>0</v>
      </c>
      <c r="CK74" s="2">
        <v>183.2</v>
      </c>
      <c r="CL74" s="2">
        <v>177.2</v>
      </c>
      <c r="CM74" s="2">
        <v>184.7</v>
      </c>
      <c r="CN74" s="2">
        <v>168.2</v>
      </c>
      <c r="CO74" s="2">
        <v>171.8</v>
      </c>
      <c r="CP74" s="2">
        <v>177.8</v>
      </c>
      <c r="CQ74" s="2">
        <v>178.4</v>
      </c>
      <c r="CR74" s="2">
        <v>176.5</v>
      </c>
      <c r="CS74" s="2">
        <v>175.63076923076926</v>
      </c>
      <c r="CT74" s="2">
        <v>184.35000000000002</v>
      </c>
      <c r="CU74" s="2">
        <v>88.6</v>
      </c>
      <c r="CV74" s="2">
        <v>181.55</v>
      </c>
      <c r="CW74" s="2">
        <v>187.96666666666667</v>
      </c>
      <c r="CX74" s="2">
        <v>177.8</v>
      </c>
      <c r="CY74" s="1">
        <v>3.9525691699605703E-3</v>
      </c>
      <c r="CZ74">
        <f>VLOOKUP(BR74,'OIL PRICE'!$A$1:$B$27,2,0)</f>
        <v>80.92</v>
      </c>
    </row>
    <row r="75" spans="1:104" x14ac:dyDescent="0.25">
      <c r="A75" t="s">
        <v>32</v>
      </c>
      <c r="B75">
        <v>2015</v>
      </c>
      <c r="C75" t="s">
        <v>31</v>
      </c>
      <c r="D75" s="2">
        <v>124</v>
      </c>
      <c r="E75" s="2">
        <v>125.5</v>
      </c>
      <c r="F75" s="2">
        <v>126.6</v>
      </c>
      <c r="G75" s="2">
        <v>125.2</v>
      </c>
      <c r="H75" s="2">
        <v>104.3</v>
      </c>
      <c r="I75" s="2">
        <v>121.3</v>
      </c>
      <c r="J75" s="2">
        <v>134.4</v>
      </c>
      <c r="K75" s="2">
        <v>122.9</v>
      </c>
      <c r="L75" s="2">
        <v>96.1</v>
      </c>
      <c r="M75" s="2">
        <v>126.6</v>
      </c>
      <c r="N75" s="2">
        <v>116.5</v>
      </c>
      <c r="O75" s="2">
        <v>128</v>
      </c>
      <c r="P75" s="2">
        <v>123.5</v>
      </c>
      <c r="Q75" s="2">
        <v>127.4</v>
      </c>
      <c r="R75" s="2">
        <v>121</v>
      </c>
      <c r="S75" s="2">
        <v>116.1</v>
      </c>
      <c r="T75" s="2">
        <v>120.2</v>
      </c>
      <c r="U75" s="2">
        <v>117.3</v>
      </c>
      <c r="V75" s="2">
        <v>113.4</v>
      </c>
      <c r="W75" s="2">
        <v>117.2</v>
      </c>
      <c r="X75" s="2">
        <v>113.7</v>
      </c>
      <c r="Y75" s="2">
        <v>107.9</v>
      </c>
      <c r="Z75" s="2">
        <v>114.6</v>
      </c>
      <c r="AA75" s="2">
        <v>120.8</v>
      </c>
      <c r="AB75" s="2">
        <v>111.4</v>
      </c>
      <c r="AC75" s="2">
        <v>113.4</v>
      </c>
      <c r="AD75" s="2">
        <f>AVERAGE(All_India_Index_Upto_April23_CPI_data[[#This Row],[Cereals and products]:[Food and beverages]])</f>
        <v>121.14615384615384</v>
      </c>
      <c r="AE75" s="2">
        <f>AVERAGE(All_India_Index_Upto_April23_CPI_data[[#This Row],[Recreation and amusement]],All_India_Index_Upto_April23_CPI_data[[#This Row],[Pan, tobacco and intoxicants]])</f>
        <v>121</v>
      </c>
      <c r="AF75" s="2">
        <f>AVERAGE(All_India_Index_Upto_April23_CPI_data[[#This Row],[Household goods and services]],All_India_Index_Upto_April23_CPI_data[[#This Row],[Housing]])</f>
        <v>117.25</v>
      </c>
      <c r="AG75" s="2">
        <f>AVERAGE(All_India_Index_Upto_April23_CPI_data[[#This Row],[Personal care and effects]],All_India_Index_Upto_April23_CPI_data[[#This Row],[Health]])</f>
        <v>112.55000000000001</v>
      </c>
      <c r="AH75" s="2">
        <f>AVERAGE(All_India_Index_Upto_April23_CPI_data[[#This Row],[Clothing]:[Clothing and footwear]])</f>
        <v>119.10000000000001</v>
      </c>
      <c r="AI75" s="2">
        <v>118.5</v>
      </c>
      <c r="AJ75" s="1">
        <f>(All_India_Index_Upto_April23_CPI_data[[#This Row],[General index]]-AI72)/AI72</f>
        <v>8.445945945945465E-4</v>
      </c>
      <c r="BO75" t="s">
        <v>32</v>
      </c>
      <c r="BP75">
        <v>2023</v>
      </c>
      <c r="BQ75" t="s">
        <v>31</v>
      </c>
      <c r="BR75" s="11">
        <f t="shared" si="3"/>
        <v>44927</v>
      </c>
      <c r="BS75" s="2">
        <v>173.3</v>
      </c>
      <c r="BT75" s="2">
        <v>215.2</v>
      </c>
      <c r="BU75" s="2">
        <v>197</v>
      </c>
      <c r="BV75" s="2">
        <v>175.2</v>
      </c>
      <c r="BW75" s="2">
        <v>178</v>
      </c>
      <c r="BX75" s="2">
        <v>160.5</v>
      </c>
      <c r="BY75" s="2">
        <v>175.3</v>
      </c>
      <c r="BZ75" s="2">
        <v>171.2</v>
      </c>
      <c r="CA75" s="2">
        <v>122.7</v>
      </c>
      <c r="CB75" s="2">
        <v>204.3</v>
      </c>
      <c r="CC75" s="2">
        <v>163.69999999999999</v>
      </c>
      <c r="CD75" s="2">
        <v>194.3</v>
      </c>
      <c r="CE75" s="2">
        <v>179.5</v>
      </c>
      <c r="CF75" s="2">
        <v>201.6</v>
      </c>
      <c r="CG75" s="2">
        <v>178.7</v>
      </c>
      <c r="CH75" s="2">
        <v>165.3</v>
      </c>
      <c r="CI75" s="2">
        <v>176.6</v>
      </c>
      <c r="CJ75" s="2">
        <v>172.1</v>
      </c>
      <c r="CK75" s="2">
        <v>180.1</v>
      </c>
      <c r="CL75" s="2">
        <v>168</v>
      </c>
      <c r="CM75" s="2">
        <v>178.5</v>
      </c>
      <c r="CN75" s="2">
        <v>159.5</v>
      </c>
      <c r="CO75" s="2">
        <v>167.8</v>
      </c>
      <c r="CP75" s="2">
        <v>171.8</v>
      </c>
      <c r="CQ75" s="2">
        <v>178.8</v>
      </c>
      <c r="CR75" s="2">
        <v>168.9</v>
      </c>
      <c r="CS75" s="2">
        <v>177.70769230769233</v>
      </c>
      <c r="CT75" s="2">
        <v>184.7</v>
      </c>
      <c r="CU75" s="2">
        <v>170.05</v>
      </c>
      <c r="CV75" s="2">
        <v>178.65</v>
      </c>
      <c r="CW75" s="2">
        <v>173.53333333333333</v>
      </c>
      <c r="CX75" s="2">
        <v>174.9</v>
      </c>
      <c r="CY75" s="1">
        <v>4.5950603101666361E-3</v>
      </c>
      <c r="CZ75">
        <f>VLOOKUP(BR75,'OIL PRICE'!$A$1:$B$27,2,0)</f>
        <v>80.92</v>
      </c>
    </row>
    <row r="76" spans="1:104" x14ac:dyDescent="0.25">
      <c r="A76" t="s">
        <v>33</v>
      </c>
      <c r="B76">
        <v>2015</v>
      </c>
      <c r="C76" t="s">
        <v>31</v>
      </c>
      <c r="D76" s="2">
        <v>123.4</v>
      </c>
      <c r="E76" s="2">
        <v>123.9</v>
      </c>
      <c r="F76" s="2">
        <v>123.8</v>
      </c>
      <c r="G76" s="2">
        <v>125</v>
      </c>
      <c r="H76" s="2">
        <v>108.5</v>
      </c>
      <c r="I76" s="2">
        <v>126.2</v>
      </c>
      <c r="J76" s="2">
        <v>133</v>
      </c>
      <c r="K76" s="2">
        <v>119.1</v>
      </c>
      <c r="L76" s="2">
        <v>99</v>
      </c>
      <c r="M76" s="2">
        <v>120.3</v>
      </c>
      <c r="N76" s="2">
        <v>117.3</v>
      </c>
      <c r="O76" s="2">
        <v>126.7</v>
      </c>
      <c r="P76" s="2">
        <v>123.1</v>
      </c>
      <c r="Q76" s="2">
        <v>124</v>
      </c>
      <c r="R76" s="2">
        <v>123.1</v>
      </c>
      <c r="S76" s="2">
        <v>119.3</v>
      </c>
      <c r="T76" s="2">
        <v>122.5</v>
      </c>
      <c r="U76" s="2">
        <v>117.3</v>
      </c>
      <c r="V76" s="2">
        <v>116.5</v>
      </c>
      <c r="W76" s="2">
        <v>118.1</v>
      </c>
      <c r="X76" s="2">
        <v>115.5</v>
      </c>
      <c r="Y76" s="2">
        <v>109.4</v>
      </c>
      <c r="Z76" s="2">
        <v>114.3</v>
      </c>
      <c r="AA76" s="2">
        <v>119.7</v>
      </c>
      <c r="AB76" s="2">
        <v>110.7</v>
      </c>
      <c r="AC76" s="2">
        <v>114</v>
      </c>
      <c r="AD76" s="2">
        <f>AVERAGE(All_India_Index_Upto_April23_CPI_data[[#This Row],[Cereals and products]:[Food and beverages]])</f>
        <v>120.71538461538461</v>
      </c>
      <c r="AE76" s="2">
        <f>AVERAGE(All_India_Index_Upto_April23_CPI_data[[#This Row],[Recreation and amusement]],All_India_Index_Upto_April23_CPI_data[[#This Row],[Pan, tobacco and intoxicants]])</f>
        <v>119.15</v>
      </c>
      <c r="AF76" s="2">
        <f>AVERAGE(All_India_Index_Upto_April23_CPI_data[[#This Row],[Household goods and services]],All_India_Index_Upto_April23_CPI_data[[#This Row],[Housing]])</f>
        <v>117.69999999999999</v>
      </c>
      <c r="AG76" s="2">
        <f>AVERAGE(All_India_Index_Upto_April23_CPI_data[[#This Row],[Personal care and effects]],All_India_Index_Upto_April23_CPI_data[[#This Row],[Health]])</f>
        <v>113.1</v>
      </c>
      <c r="AH76" s="2">
        <f>AVERAGE(All_India_Index_Upto_April23_CPI_data[[#This Row],[Clothing]:[Clothing and footwear]])</f>
        <v>121.63333333333333</v>
      </c>
      <c r="AI76" s="2">
        <v>119.5</v>
      </c>
      <c r="AJ76" s="1">
        <f>(All_India_Index_Upto_April23_CPI_data[[#This Row],[General index]]-AI73)/AI73</f>
        <v>8.3752093802340289E-4</v>
      </c>
      <c r="BO76" t="s">
        <v>33</v>
      </c>
      <c r="BP76">
        <v>2023</v>
      </c>
      <c r="BQ76" t="s">
        <v>31</v>
      </c>
      <c r="BR76" s="11">
        <f t="shared" si="3"/>
        <v>44927</v>
      </c>
      <c r="BS76" s="2">
        <v>173.8</v>
      </c>
      <c r="BT76" s="2">
        <v>210.7</v>
      </c>
      <c r="BU76" s="2">
        <v>194.5</v>
      </c>
      <c r="BV76" s="2">
        <v>174.6</v>
      </c>
      <c r="BW76" s="2">
        <v>187.2</v>
      </c>
      <c r="BX76" s="2">
        <v>158.30000000000001</v>
      </c>
      <c r="BY76" s="2">
        <v>153.9</v>
      </c>
      <c r="BZ76" s="2">
        <v>170.9</v>
      </c>
      <c r="CA76" s="2">
        <v>121.1</v>
      </c>
      <c r="CB76" s="2">
        <v>208.4</v>
      </c>
      <c r="CC76" s="2">
        <v>171.4</v>
      </c>
      <c r="CD76" s="2">
        <v>191.2</v>
      </c>
      <c r="CE76" s="2">
        <v>176.7</v>
      </c>
      <c r="CF76" s="2">
        <v>198.2</v>
      </c>
      <c r="CG76" s="2">
        <v>184.9</v>
      </c>
      <c r="CH76" s="2">
        <v>177.6</v>
      </c>
      <c r="CI76" s="2">
        <v>183.8</v>
      </c>
      <c r="CJ76" s="2">
        <v>172.1</v>
      </c>
      <c r="CK76" s="2">
        <v>182</v>
      </c>
      <c r="CL76" s="2">
        <v>172.9</v>
      </c>
      <c r="CM76" s="2">
        <v>182.3</v>
      </c>
      <c r="CN76" s="2">
        <v>163.6</v>
      </c>
      <c r="CO76" s="2">
        <v>169.5</v>
      </c>
      <c r="CP76" s="2">
        <v>174.3</v>
      </c>
      <c r="CQ76" s="2">
        <v>178.6</v>
      </c>
      <c r="CR76" s="2">
        <v>172.8</v>
      </c>
      <c r="CS76" s="2">
        <v>176.36153846153846</v>
      </c>
      <c r="CT76" s="2">
        <v>183.85</v>
      </c>
      <c r="CU76" s="2">
        <v>172.5</v>
      </c>
      <c r="CV76" s="2">
        <v>180.45</v>
      </c>
      <c r="CW76" s="2">
        <v>182.1</v>
      </c>
      <c r="CX76" s="2">
        <v>176.5</v>
      </c>
      <c r="CY76" s="1">
        <v>4.5532157085942599E-3</v>
      </c>
      <c r="CZ76">
        <f>VLOOKUP(BR76,'OIL PRICE'!$A$1:$B$27,2,0)</f>
        <v>80.92</v>
      </c>
    </row>
    <row r="77" spans="1:104" x14ac:dyDescent="0.25">
      <c r="A77" t="s">
        <v>30</v>
      </c>
      <c r="B77">
        <v>2015</v>
      </c>
      <c r="C77" t="s">
        <v>34</v>
      </c>
      <c r="D77" s="2">
        <v>123.4</v>
      </c>
      <c r="E77" s="2">
        <v>124.4</v>
      </c>
      <c r="F77" s="2">
        <v>122.1</v>
      </c>
      <c r="G77" s="2">
        <v>125.8</v>
      </c>
      <c r="H77" s="2">
        <v>111.5</v>
      </c>
      <c r="I77" s="2">
        <v>129.4</v>
      </c>
      <c r="J77" s="2">
        <v>128.19999999999999</v>
      </c>
      <c r="K77" s="2">
        <v>118.8</v>
      </c>
      <c r="L77" s="2">
        <v>100</v>
      </c>
      <c r="M77" s="2">
        <v>118.6</v>
      </c>
      <c r="N77" s="2">
        <v>118.8</v>
      </c>
      <c r="O77" s="2">
        <v>126.8</v>
      </c>
      <c r="P77" s="2">
        <v>122.8</v>
      </c>
      <c r="Q77" s="2">
        <v>124.2</v>
      </c>
      <c r="R77" s="2">
        <v>125.4</v>
      </c>
      <c r="S77" s="2">
        <v>122.7</v>
      </c>
      <c r="T77" s="2">
        <v>125</v>
      </c>
      <c r="U77" s="2">
        <v>0</v>
      </c>
      <c r="V77" s="2">
        <v>120</v>
      </c>
      <c r="W77" s="2">
        <v>119.6</v>
      </c>
      <c r="X77" s="2">
        <v>117.7</v>
      </c>
      <c r="Y77" s="2">
        <v>110.9</v>
      </c>
      <c r="Z77" s="2">
        <v>114.8</v>
      </c>
      <c r="AA77" s="2">
        <v>118.7</v>
      </c>
      <c r="AB77" s="2">
        <v>110.8</v>
      </c>
      <c r="AC77" s="2">
        <v>115</v>
      </c>
      <c r="AD77" s="2">
        <f>AVERAGE(All_India_Index_Upto_April23_CPI_data[[#This Row],[Cereals and products]:[Food and beverages]])</f>
        <v>120.81538461538459</v>
      </c>
      <c r="AE77" s="2">
        <f>AVERAGE(All_India_Index_Upto_April23_CPI_data[[#This Row],[Recreation and amusement]],All_India_Index_Upto_April23_CPI_data[[#This Row],[Pan, tobacco and intoxicants]])</f>
        <v>119.5</v>
      </c>
      <c r="AF77" s="2">
        <f>AVERAGE(All_India_Index_Upto_April23_CPI_data[[#This Row],[Household goods and services]],All_India_Index_Upto_April23_CPI_data[[#This Row],[Housing]])</f>
        <v>59.8</v>
      </c>
      <c r="AG77" s="2">
        <f>AVERAGE(All_India_Index_Upto_April23_CPI_data[[#This Row],[Personal care and effects]],All_India_Index_Upto_April23_CPI_data[[#This Row],[Health]])</f>
        <v>114.25</v>
      </c>
      <c r="AH77" s="2">
        <f>AVERAGE(All_India_Index_Upto_April23_CPI_data[[#This Row],[Clothing]:[Clothing and footwear]])</f>
        <v>124.36666666666667</v>
      </c>
      <c r="AI77" s="2">
        <v>120.6</v>
      </c>
      <c r="AJ77" s="1">
        <f>(All_India_Index_Upto_April23_CPI_data[[#This Row],[General index]]-AI74)/AI74</f>
        <v>2.4937655860348892E-3</v>
      </c>
      <c r="BO77" t="s">
        <v>30</v>
      </c>
      <c r="BP77">
        <v>2023</v>
      </c>
      <c r="BQ77" t="s">
        <v>34</v>
      </c>
      <c r="BR77" s="11">
        <f t="shared" si="3"/>
        <v>44958</v>
      </c>
      <c r="BS77" s="2">
        <v>174.2</v>
      </c>
      <c r="BT77" s="2">
        <v>205.2</v>
      </c>
      <c r="BU77" s="2">
        <v>173.9</v>
      </c>
      <c r="BV77" s="2">
        <v>177</v>
      </c>
      <c r="BW77" s="2">
        <v>183.4</v>
      </c>
      <c r="BX77" s="2">
        <v>167.2</v>
      </c>
      <c r="BY77" s="2">
        <v>140.9</v>
      </c>
      <c r="BZ77" s="2">
        <v>170.4</v>
      </c>
      <c r="CA77" s="2">
        <v>119.1</v>
      </c>
      <c r="CB77" s="2">
        <v>212.1</v>
      </c>
      <c r="CC77" s="2">
        <v>177.6</v>
      </c>
      <c r="CD77" s="2">
        <v>189.9</v>
      </c>
      <c r="CE77" s="2">
        <v>174.8</v>
      </c>
      <c r="CF77" s="2">
        <v>198.3</v>
      </c>
      <c r="CG77" s="2">
        <v>190</v>
      </c>
      <c r="CH77" s="2">
        <v>187</v>
      </c>
      <c r="CI77" s="2">
        <v>189.6</v>
      </c>
      <c r="CJ77" s="2">
        <v>0</v>
      </c>
      <c r="CK77" s="2">
        <v>181.6</v>
      </c>
      <c r="CL77" s="2">
        <v>178.6</v>
      </c>
      <c r="CM77" s="2">
        <v>186.6</v>
      </c>
      <c r="CN77" s="2">
        <v>169</v>
      </c>
      <c r="CO77" s="2">
        <v>172.8</v>
      </c>
      <c r="CP77" s="2">
        <v>178.5</v>
      </c>
      <c r="CQ77" s="2">
        <v>180.7</v>
      </c>
      <c r="CR77" s="2">
        <v>177.9</v>
      </c>
      <c r="CS77" s="2">
        <v>174.28461538461536</v>
      </c>
      <c r="CT77" s="2">
        <v>185.55</v>
      </c>
      <c r="CU77" s="2">
        <v>89.3</v>
      </c>
      <c r="CV77" s="2">
        <v>183.64999999999998</v>
      </c>
      <c r="CW77" s="2">
        <v>188.86666666666667</v>
      </c>
      <c r="CX77" s="2">
        <v>178</v>
      </c>
      <c r="CY77" s="1">
        <v>1.1248593925758639E-3</v>
      </c>
      <c r="CZ77">
        <f>VLOOKUP(BR77,'OIL PRICE'!$A$1:$B$27,2,0)</f>
        <v>82.28</v>
      </c>
    </row>
    <row r="78" spans="1:104" x14ac:dyDescent="0.25">
      <c r="A78" t="s">
        <v>32</v>
      </c>
      <c r="B78">
        <v>2015</v>
      </c>
      <c r="C78" t="s">
        <v>34</v>
      </c>
      <c r="D78" s="2">
        <v>124.3</v>
      </c>
      <c r="E78" s="2">
        <v>126.5</v>
      </c>
      <c r="F78" s="2">
        <v>119.5</v>
      </c>
      <c r="G78" s="2">
        <v>125.6</v>
      </c>
      <c r="H78" s="2">
        <v>104.9</v>
      </c>
      <c r="I78" s="2">
        <v>121.6</v>
      </c>
      <c r="J78" s="2">
        <v>131.80000000000001</v>
      </c>
      <c r="K78" s="2">
        <v>125.1</v>
      </c>
      <c r="L78" s="2">
        <v>95</v>
      </c>
      <c r="M78" s="2">
        <v>127.7</v>
      </c>
      <c r="N78" s="2">
        <v>116.8</v>
      </c>
      <c r="O78" s="2">
        <v>128.6</v>
      </c>
      <c r="P78" s="2">
        <v>123.7</v>
      </c>
      <c r="Q78" s="2">
        <v>128.1</v>
      </c>
      <c r="R78" s="2">
        <v>121.3</v>
      </c>
      <c r="S78" s="2">
        <v>116.5</v>
      </c>
      <c r="T78" s="2">
        <v>120.6</v>
      </c>
      <c r="U78" s="2">
        <v>118.1</v>
      </c>
      <c r="V78" s="2">
        <v>114</v>
      </c>
      <c r="W78" s="2">
        <v>117.7</v>
      </c>
      <c r="X78" s="2">
        <v>114.1</v>
      </c>
      <c r="Y78" s="2">
        <v>106.8</v>
      </c>
      <c r="Z78" s="2">
        <v>114.9</v>
      </c>
      <c r="AA78" s="2">
        <v>120.4</v>
      </c>
      <c r="AB78" s="2">
        <v>111.7</v>
      </c>
      <c r="AC78" s="2">
        <v>113.2</v>
      </c>
      <c r="AD78" s="2">
        <f>AVERAGE(All_India_Index_Upto_April23_CPI_data[[#This Row],[Cereals and products]:[Food and beverages]])</f>
        <v>120.85384615384616</v>
      </c>
      <c r="AE78" s="2">
        <f>AVERAGE(All_India_Index_Upto_April23_CPI_data[[#This Row],[Recreation and amusement]],All_India_Index_Upto_April23_CPI_data[[#This Row],[Pan, tobacco and intoxicants]])</f>
        <v>121.5</v>
      </c>
      <c r="AF78" s="2">
        <f>AVERAGE(All_India_Index_Upto_April23_CPI_data[[#This Row],[Household goods and services]],All_India_Index_Upto_April23_CPI_data[[#This Row],[Housing]])</f>
        <v>117.9</v>
      </c>
      <c r="AG78" s="2">
        <f>AVERAGE(All_India_Index_Upto_April23_CPI_data[[#This Row],[Personal care and effects]],All_India_Index_Upto_April23_CPI_data[[#This Row],[Health]])</f>
        <v>112.9</v>
      </c>
      <c r="AH78" s="2">
        <f>AVERAGE(All_India_Index_Upto_April23_CPI_data[[#This Row],[Clothing]:[Clothing and footwear]])</f>
        <v>119.46666666666665</v>
      </c>
      <c r="AI78" s="2">
        <v>118.7</v>
      </c>
      <c r="AJ78" s="1">
        <f>(All_India_Index_Upto_April23_CPI_data[[#This Row],[General index]]-AI75)/AI75</f>
        <v>1.6877637130801927E-3</v>
      </c>
      <c r="BO78" t="s">
        <v>32</v>
      </c>
      <c r="BP78">
        <v>2023</v>
      </c>
      <c r="BQ78" t="s">
        <v>34</v>
      </c>
      <c r="BR78" s="11">
        <f t="shared" si="3"/>
        <v>44958</v>
      </c>
      <c r="BS78" s="2">
        <v>174.7</v>
      </c>
      <c r="BT78" s="2">
        <v>212.2</v>
      </c>
      <c r="BU78" s="2">
        <v>177.2</v>
      </c>
      <c r="BV78" s="2">
        <v>177.9</v>
      </c>
      <c r="BW78" s="2">
        <v>172.2</v>
      </c>
      <c r="BX78" s="2">
        <v>172.1</v>
      </c>
      <c r="BY78" s="2">
        <v>175.8</v>
      </c>
      <c r="BZ78" s="2">
        <v>172.2</v>
      </c>
      <c r="CA78" s="2">
        <v>121.9</v>
      </c>
      <c r="CB78" s="2">
        <v>204.8</v>
      </c>
      <c r="CC78" s="2">
        <v>164.9</v>
      </c>
      <c r="CD78" s="2">
        <v>196.6</v>
      </c>
      <c r="CE78" s="2">
        <v>180.7</v>
      </c>
      <c r="CF78" s="2">
        <v>202.7</v>
      </c>
      <c r="CG78" s="2">
        <v>180.3</v>
      </c>
      <c r="CH78" s="2">
        <v>167</v>
      </c>
      <c r="CI78" s="2">
        <v>178.2</v>
      </c>
      <c r="CJ78" s="2">
        <v>173.5</v>
      </c>
      <c r="CK78" s="2">
        <v>182.8</v>
      </c>
      <c r="CL78" s="2">
        <v>169.2</v>
      </c>
      <c r="CM78" s="2">
        <v>180.8</v>
      </c>
      <c r="CN78" s="2">
        <v>159.80000000000001</v>
      </c>
      <c r="CO78" s="2">
        <v>168.4</v>
      </c>
      <c r="CP78" s="2">
        <v>172.5</v>
      </c>
      <c r="CQ78" s="2">
        <v>181.4</v>
      </c>
      <c r="CR78" s="2">
        <v>170</v>
      </c>
      <c r="CS78" s="2">
        <v>177.16923076923075</v>
      </c>
      <c r="CT78" s="2">
        <v>185.55</v>
      </c>
      <c r="CU78" s="2">
        <v>171.35</v>
      </c>
      <c r="CV78" s="2">
        <v>181.10000000000002</v>
      </c>
      <c r="CW78" s="2">
        <v>175.16666666666666</v>
      </c>
      <c r="CX78" s="2">
        <v>176.3</v>
      </c>
      <c r="CY78" s="1">
        <v>8.0045740423099233E-3</v>
      </c>
      <c r="CZ78">
        <f>VLOOKUP(BR78,'OIL PRICE'!$A$1:$B$27,2,0)</f>
        <v>82.28</v>
      </c>
    </row>
    <row r="79" spans="1:104" x14ac:dyDescent="0.25">
      <c r="A79" t="s">
        <v>33</v>
      </c>
      <c r="B79">
        <v>2015</v>
      </c>
      <c r="C79" t="s">
        <v>34</v>
      </c>
      <c r="D79" s="2">
        <v>123.7</v>
      </c>
      <c r="E79" s="2">
        <v>125.1</v>
      </c>
      <c r="F79" s="2">
        <v>121.1</v>
      </c>
      <c r="G79" s="2">
        <v>125.7</v>
      </c>
      <c r="H79" s="2">
        <v>109.1</v>
      </c>
      <c r="I79" s="2">
        <v>125.8</v>
      </c>
      <c r="J79" s="2">
        <v>129.4</v>
      </c>
      <c r="K79" s="2">
        <v>120.9</v>
      </c>
      <c r="L79" s="2">
        <v>98.3</v>
      </c>
      <c r="M79" s="2">
        <v>121.6</v>
      </c>
      <c r="N79" s="2">
        <v>118</v>
      </c>
      <c r="O79" s="2">
        <v>127.6</v>
      </c>
      <c r="P79" s="2">
        <v>123.1</v>
      </c>
      <c r="Q79" s="2">
        <v>125.2</v>
      </c>
      <c r="R79" s="2">
        <v>123.8</v>
      </c>
      <c r="S79" s="2">
        <v>120.1</v>
      </c>
      <c r="T79" s="2">
        <v>123.3</v>
      </c>
      <c r="U79" s="2">
        <v>118.1</v>
      </c>
      <c r="V79" s="2">
        <v>117.7</v>
      </c>
      <c r="W79" s="2">
        <v>118.7</v>
      </c>
      <c r="X79" s="2">
        <v>116.3</v>
      </c>
      <c r="Y79" s="2">
        <v>108.7</v>
      </c>
      <c r="Z79" s="2">
        <v>114.9</v>
      </c>
      <c r="AA79" s="2">
        <v>119.7</v>
      </c>
      <c r="AB79" s="2">
        <v>111.2</v>
      </c>
      <c r="AC79" s="2">
        <v>114.1</v>
      </c>
      <c r="AD79" s="2">
        <f>AVERAGE(All_India_Index_Upto_April23_CPI_data[[#This Row],[Cereals and products]:[Food and beverages]])</f>
        <v>120.72307692307689</v>
      </c>
      <c r="AE79" s="2">
        <f>AVERAGE(All_India_Index_Upto_April23_CPI_data[[#This Row],[Recreation and amusement]],All_India_Index_Upto_April23_CPI_data[[#This Row],[Pan, tobacco and intoxicants]])</f>
        <v>120.05000000000001</v>
      </c>
      <c r="AF79" s="2">
        <f>AVERAGE(All_India_Index_Upto_April23_CPI_data[[#This Row],[Household goods and services]],All_India_Index_Upto_April23_CPI_data[[#This Row],[Housing]])</f>
        <v>118.4</v>
      </c>
      <c r="AG79" s="2">
        <f>AVERAGE(All_India_Index_Upto_April23_CPI_data[[#This Row],[Personal care and effects]],All_India_Index_Upto_April23_CPI_data[[#This Row],[Health]])</f>
        <v>113.75</v>
      </c>
      <c r="AH79" s="2">
        <f>AVERAGE(All_India_Index_Upto_April23_CPI_data[[#This Row],[Clothing]:[Clothing and footwear]])</f>
        <v>122.39999999999999</v>
      </c>
      <c r="AI79" s="2">
        <v>119.7</v>
      </c>
      <c r="AJ79" s="1">
        <f>(All_India_Index_Upto_April23_CPI_data[[#This Row],[General index]]-AI76)/AI76</f>
        <v>1.6736401673640405E-3</v>
      </c>
      <c r="BO79" t="s">
        <v>33</v>
      </c>
      <c r="BP79">
        <v>2023</v>
      </c>
      <c r="BQ79" t="s">
        <v>34</v>
      </c>
      <c r="BR79" s="11">
        <f t="shared" si="3"/>
        <v>44958</v>
      </c>
      <c r="BS79" s="2">
        <v>174.4</v>
      </c>
      <c r="BT79" s="2">
        <v>207.7</v>
      </c>
      <c r="BU79" s="2">
        <v>175.2</v>
      </c>
      <c r="BV79" s="2">
        <v>177.3</v>
      </c>
      <c r="BW79" s="2">
        <v>179.3</v>
      </c>
      <c r="BX79" s="2">
        <v>169.5</v>
      </c>
      <c r="BY79" s="2">
        <v>152.69999999999999</v>
      </c>
      <c r="BZ79" s="2">
        <v>171</v>
      </c>
      <c r="CA79" s="2">
        <v>120</v>
      </c>
      <c r="CB79" s="2">
        <v>209.7</v>
      </c>
      <c r="CC79" s="2">
        <v>172.3</v>
      </c>
      <c r="CD79" s="2">
        <v>193</v>
      </c>
      <c r="CE79" s="2">
        <v>177</v>
      </c>
      <c r="CF79" s="2">
        <v>199.5</v>
      </c>
      <c r="CG79" s="2">
        <v>186.2</v>
      </c>
      <c r="CH79" s="2">
        <v>178.7</v>
      </c>
      <c r="CI79" s="2">
        <v>185.1</v>
      </c>
      <c r="CJ79" s="2">
        <v>173.5</v>
      </c>
      <c r="CK79" s="2">
        <v>182.1</v>
      </c>
      <c r="CL79" s="2">
        <v>174.2</v>
      </c>
      <c r="CM79" s="2">
        <v>184.4</v>
      </c>
      <c r="CN79" s="2">
        <v>164.2</v>
      </c>
      <c r="CO79" s="2">
        <v>170.3</v>
      </c>
      <c r="CP79" s="2">
        <v>175</v>
      </c>
      <c r="CQ79" s="2">
        <v>181</v>
      </c>
      <c r="CR79" s="2">
        <v>174.1</v>
      </c>
      <c r="CS79" s="2">
        <v>175.3153846153846</v>
      </c>
      <c r="CT79" s="2">
        <v>184.9</v>
      </c>
      <c r="CU79" s="2">
        <v>173.85</v>
      </c>
      <c r="CV79" s="2">
        <v>182.7</v>
      </c>
      <c r="CW79" s="2">
        <v>183.33333333333334</v>
      </c>
      <c r="CX79" s="2">
        <v>177.2</v>
      </c>
      <c r="CY79" s="1">
        <v>3.9660056657223148E-3</v>
      </c>
      <c r="CZ79">
        <f>VLOOKUP(BR79,'OIL PRICE'!$A$1:$B$27,2,0)</f>
        <v>82.28</v>
      </c>
    </row>
    <row r="80" spans="1:104" x14ac:dyDescent="0.25">
      <c r="A80" t="s">
        <v>30</v>
      </c>
      <c r="B80">
        <v>2015</v>
      </c>
      <c r="C80" t="s">
        <v>35</v>
      </c>
      <c r="D80" s="2">
        <v>123.3</v>
      </c>
      <c r="E80" s="2">
        <v>124.7</v>
      </c>
      <c r="F80" s="2">
        <v>118.9</v>
      </c>
      <c r="G80" s="2">
        <v>126</v>
      </c>
      <c r="H80" s="2">
        <v>111.8</v>
      </c>
      <c r="I80" s="2">
        <v>130.9</v>
      </c>
      <c r="J80" s="2">
        <v>128</v>
      </c>
      <c r="K80" s="2">
        <v>119.9</v>
      </c>
      <c r="L80" s="2">
        <v>98.9</v>
      </c>
      <c r="M80" s="2">
        <v>119.4</v>
      </c>
      <c r="N80" s="2">
        <v>118.9</v>
      </c>
      <c r="O80" s="2">
        <v>127.7</v>
      </c>
      <c r="P80" s="2">
        <v>123.1</v>
      </c>
      <c r="Q80" s="2">
        <v>124.7</v>
      </c>
      <c r="R80" s="2">
        <v>126</v>
      </c>
      <c r="S80" s="2">
        <v>122.9</v>
      </c>
      <c r="T80" s="2">
        <v>125.5</v>
      </c>
      <c r="U80" s="2">
        <v>0</v>
      </c>
      <c r="V80" s="2">
        <v>120.6</v>
      </c>
      <c r="W80" s="2">
        <v>120.2</v>
      </c>
      <c r="X80" s="2">
        <v>118.2</v>
      </c>
      <c r="Y80" s="2">
        <v>111.6</v>
      </c>
      <c r="Z80" s="2">
        <v>115.5</v>
      </c>
      <c r="AA80" s="2">
        <v>119.4</v>
      </c>
      <c r="AB80" s="2">
        <v>110.8</v>
      </c>
      <c r="AC80" s="2">
        <v>115.5</v>
      </c>
      <c r="AD80" s="2">
        <f>AVERAGE(All_India_Index_Upto_April23_CPI_data[[#This Row],[Cereals and products]:[Food and beverages]])</f>
        <v>120.88461538461539</v>
      </c>
      <c r="AE80" s="2">
        <f>AVERAGE(All_India_Index_Upto_April23_CPI_data[[#This Row],[Recreation and amusement]],All_India_Index_Upto_April23_CPI_data[[#This Row],[Pan, tobacco and intoxicants]])</f>
        <v>120.1</v>
      </c>
      <c r="AF80" s="2">
        <f>AVERAGE(All_India_Index_Upto_April23_CPI_data[[#This Row],[Household goods and services]],All_India_Index_Upto_April23_CPI_data[[#This Row],[Housing]])</f>
        <v>60.1</v>
      </c>
      <c r="AG80" s="2">
        <f>AVERAGE(All_India_Index_Upto_April23_CPI_data[[#This Row],[Personal care and effects]],All_India_Index_Upto_April23_CPI_data[[#This Row],[Health]])</f>
        <v>114.5</v>
      </c>
      <c r="AH80" s="2">
        <f>AVERAGE(All_India_Index_Upto_April23_CPI_data[[#This Row],[Clothing]:[Clothing and footwear]])</f>
        <v>124.8</v>
      </c>
      <c r="AI80" s="2">
        <v>121.1</v>
      </c>
      <c r="AJ80" s="1">
        <f>(All_India_Index_Upto_April23_CPI_data[[#This Row],[General index]]-AI77)/AI77</f>
        <v>4.1459369817578775E-3</v>
      </c>
      <c r="BR80" s="11"/>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1"/>
    </row>
    <row r="81" spans="1:103" x14ac:dyDescent="0.25">
      <c r="A81" t="s">
        <v>32</v>
      </c>
      <c r="B81">
        <v>2015</v>
      </c>
      <c r="C81" t="s">
        <v>35</v>
      </c>
      <c r="D81" s="2">
        <v>124</v>
      </c>
      <c r="E81" s="2">
        <v>126.7</v>
      </c>
      <c r="F81" s="2">
        <v>113.5</v>
      </c>
      <c r="G81" s="2">
        <v>125.9</v>
      </c>
      <c r="H81" s="2">
        <v>104.8</v>
      </c>
      <c r="I81" s="2">
        <v>123.8</v>
      </c>
      <c r="J81" s="2">
        <v>131.4</v>
      </c>
      <c r="K81" s="2">
        <v>127.2</v>
      </c>
      <c r="L81" s="2">
        <v>93.2</v>
      </c>
      <c r="M81" s="2">
        <v>127.4</v>
      </c>
      <c r="N81" s="2">
        <v>117</v>
      </c>
      <c r="O81" s="2">
        <v>129.19999999999999</v>
      </c>
      <c r="P81" s="2">
        <v>123.9</v>
      </c>
      <c r="Q81" s="2">
        <v>128.80000000000001</v>
      </c>
      <c r="R81" s="2">
        <v>121.7</v>
      </c>
      <c r="S81" s="2">
        <v>116.9</v>
      </c>
      <c r="T81" s="2">
        <v>120.9</v>
      </c>
      <c r="U81" s="2">
        <v>118.6</v>
      </c>
      <c r="V81" s="2">
        <v>114.4</v>
      </c>
      <c r="W81" s="2">
        <v>118</v>
      </c>
      <c r="X81" s="2">
        <v>114.3</v>
      </c>
      <c r="Y81" s="2">
        <v>108.4</v>
      </c>
      <c r="Z81" s="2">
        <v>115.4</v>
      </c>
      <c r="AA81" s="2">
        <v>120.6</v>
      </c>
      <c r="AB81" s="2">
        <v>111.3</v>
      </c>
      <c r="AC81" s="2">
        <v>113.8</v>
      </c>
      <c r="AD81" s="2">
        <f>AVERAGE(All_India_Index_Upto_April23_CPI_data[[#This Row],[Cereals and products]:[Food and beverages]])</f>
        <v>120.61538461538463</v>
      </c>
      <c r="AE81" s="2">
        <f>AVERAGE(All_India_Index_Upto_April23_CPI_data[[#This Row],[Recreation and amusement]],All_India_Index_Upto_April23_CPI_data[[#This Row],[Pan, tobacco and intoxicants]])</f>
        <v>122.10000000000001</v>
      </c>
      <c r="AF81" s="2">
        <f>AVERAGE(All_India_Index_Upto_April23_CPI_data[[#This Row],[Household goods and services]],All_India_Index_Upto_April23_CPI_data[[#This Row],[Housing]])</f>
        <v>118.3</v>
      </c>
      <c r="AG81" s="2">
        <f>AVERAGE(All_India_Index_Upto_April23_CPI_data[[#This Row],[Personal care and effects]],All_India_Index_Upto_April23_CPI_data[[#This Row],[Health]])</f>
        <v>112.8</v>
      </c>
      <c r="AH81" s="2">
        <f>AVERAGE(All_India_Index_Upto_April23_CPI_data[[#This Row],[Clothing]:[Clothing and footwear]])</f>
        <v>119.83333333333333</v>
      </c>
      <c r="AI81" s="2">
        <v>119.1</v>
      </c>
      <c r="AJ81" s="1">
        <f>(All_India_Index_Upto_April23_CPI_data[[#This Row],[General index]]-AI78)/AI78</f>
        <v>3.3698399326031296E-3</v>
      </c>
      <c r="BR81" s="11"/>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1"/>
    </row>
    <row r="82" spans="1:103" x14ac:dyDescent="0.25">
      <c r="A82" t="s">
        <v>33</v>
      </c>
      <c r="B82">
        <v>2015</v>
      </c>
      <c r="C82" t="s">
        <v>35</v>
      </c>
      <c r="D82" s="2">
        <v>123.5</v>
      </c>
      <c r="E82" s="2">
        <v>125.4</v>
      </c>
      <c r="F82" s="2">
        <v>116.8</v>
      </c>
      <c r="G82" s="2">
        <v>126</v>
      </c>
      <c r="H82" s="2">
        <v>109.2</v>
      </c>
      <c r="I82" s="2">
        <v>127.6</v>
      </c>
      <c r="J82" s="2">
        <v>129.19999999999999</v>
      </c>
      <c r="K82" s="2">
        <v>122.4</v>
      </c>
      <c r="L82" s="2">
        <v>97</v>
      </c>
      <c r="M82" s="2">
        <v>122.1</v>
      </c>
      <c r="N82" s="2">
        <v>118.1</v>
      </c>
      <c r="O82" s="2">
        <v>128.4</v>
      </c>
      <c r="P82" s="2">
        <v>123.4</v>
      </c>
      <c r="Q82" s="2">
        <v>125.8</v>
      </c>
      <c r="R82" s="2">
        <v>124.3</v>
      </c>
      <c r="S82" s="2">
        <v>120.4</v>
      </c>
      <c r="T82" s="2">
        <v>123.7</v>
      </c>
      <c r="U82" s="2">
        <v>118.6</v>
      </c>
      <c r="V82" s="2">
        <v>118.3</v>
      </c>
      <c r="W82" s="2">
        <v>119.2</v>
      </c>
      <c r="X82" s="2">
        <v>116.7</v>
      </c>
      <c r="Y82" s="2">
        <v>109.9</v>
      </c>
      <c r="Z82" s="2">
        <v>115.4</v>
      </c>
      <c r="AA82" s="2">
        <v>120.1</v>
      </c>
      <c r="AB82" s="2">
        <v>111</v>
      </c>
      <c r="AC82" s="2">
        <v>114.7</v>
      </c>
      <c r="AD82" s="2">
        <f>AVERAGE(All_India_Index_Upto_April23_CPI_data[[#This Row],[Cereals and products]:[Food and beverages]])</f>
        <v>120.69999999999999</v>
      </c>
      <c r="AE82" s="2">
        <f>AVERAGE(All_India_Index_Upto_April23_CPI_data[[#This Row],[Recreation and amusement]],All_India_Index_Upto_April23_CPI_data[[#This Row],[Pan, tobacco and intoxicants]])</f>
        <v>120.6</v>
      </c>
      <c r="AF82" s="2">
        <f>AVERAGE(All_India_Index_Upto_April23_CPI_data[[#This Row],[Household goods and services]],All_India_Index_Upto_April23_CPI_data[[#This Row],[Housing]])</f>
        <v>118.9</v>
      </c>
      <c r="AG82" s="2">
        <f>AVERAGE(All_India_Index_Upto_April23_CPI_data[[#This Row],[Personal care and effects]],All_India_Index_Upto_April23_CPI_data[[#This Row],[Health]])</f>
        <v>113.85</v>
      </c>
      <c r="AH82" s="2">
        <f>AVERAGE(All_India_Index_Upto_April23_CPI_data[[#This Row],[Clothing]:[Clothing and footwear]])</f>
        <v>122.8</v>
      </c>
      <c r="AI82" s="2">
        <v>120.2</v>
      </c>
      <c r="AJ82" s="1">
        <f>(All_India_Index_Upto_April23_CPI_data[[#This Row],[General index]]-AI79)/AI79</f>
        <v>4.1771094402673348E-3</v>
      </c>
      <c r="BR82" s="11"/>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1"/>
    </row>
    <row r="83" spans="1:103" x14ac:dyDescent="0.25">
      <c r="A83" t="s">
        <v>30</v>
      </c>
      <c r="B83">
        <v>2015</v>
      </c>
      <c r="C83" t="s">
        <v>36</v>
      </c>
      <c r="D83" s="2">
        <v>123.3</v>
      </c>
      <c r="E83" s="2">
        <v>125.5</v>
      </c>
      <c r="F83" s="2">
        <v>117.2</v>
      </c>
      <c r="G83" s="2">
        <v>126.8</v>
      </c>
      <c r="H83" s="2">
        <v>111.9</v>
      </c>
      <c r="I83" s="2">
        <v>134.19999999999999</v>
      </c>
      <c r="J83" s="2">
        <v>127.5</v>
      </c>
      <c r="K83" s="2">
        <v>121.5</v>
      </c>
      <c r="L83" s="2">
        <v>97.8</v>
      </c>
      <c r="M83" s="2">
        <v>119.8</v>
      </c>
      <c r="N83" s="2">
        <v>119.4</v>
      </c>
      <c r="O83" s="2">
        <v>128.69999999999999</v>
      </c>
      <c r="P83" s="2">
        <v>123.6</v>
      </c>
      <c r="Q83" s="2">
        <v>125.7</v>
      </c>
      <c r="R83" s="2">
        <v>126.4</v>
      </c>
      <c r="S83" s="2">
        <v>123.3</v>
      </c>
      <c r="T83" s="2">
        <v>126</v>
      </c>
      <c r="U83" s="2">
        <v>0</v>
      </c>
      <c r="V83" s="2">
        <v>121.2</v>
      </c>
      <c r="W83" s="2">
        <v>120.9</v>
      </c>
      <c r="X83" s="2">
        <v>118.6</v>
      </c>
      <c r="Y83" s="2">
        <v>111.9</v>
      </c>
      <c r="Z83" s="2">
        <v>116.2</v>
      </c>
      <c r="AA83" s="2">
        <v>119.9</v>
      </c>
      <c r="AB83" s="2">
        <v>111.6</v>
      </c>
      <c r="AC83" s="2">
        <v>116</v>
      </c>
      <c r="AD83" s="2">
        <f>AVERAGE(All_India_Index_Upto_April23_CPI_data[[#This Row],[Cereals and products]:[Food and beverages]])</f>
        <v>121.32307692307693</v>
      </c>
      <c r="AE83" s="2">
        <f>AVERAGE(All_India_Index_Upto_April23_CPI_data[[#This Row],[Recreation and amusement]],All_India_Index_Upto_April23_CPI_data[[#This Row],[Pan, tobacco and intoxicants]])</f>
        <v>120.95</v>
      </c>
      <c r="AF83" s="2">
        <f>AVERAGE(All_India_Index_Upto_April23_CPI_data[[#This Row],[Household goods and services]],All_India_Index_Upto_April23_CPI_data[[#This Row],[Housing]])</f>
        <v>60.45</v>
      </c>
      <c r="AG83" s="2">
        <f>AVERAGE(All_India_Index_Upto_April23_CPI_data[[#This Row],[Personal care and effects]],All_India_Index_Upto_April23_CPI_data[[#This Row],[Health]])</f>
        <v>115.1</v>
      </c>
      <c r="AH83" s="2">
        <f>AVERAGE(All_India_Index_Upto_April23_CPI_data[[#This Row],[Clothing]:[Clothing and footwear]])</f>
        <v>125.23333333333333</v>
      </c>
      <c r="AI83" s="2">
        <v>121.5</v>
      </c>
      <c r="AJ83" s="1">
        <f>(All_India_Index_Upto_April23_CPI_data[[#This Row],[General index]]-AI80)/AI80</f>
        <v>3.3030553261767606E-3</v>
      </c>
      <c r="BR83" s="11"/>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1"/>
    </row>
    <row r="84" spans="1:103" x14ac:dyDescent="0.25">
      <c r="A84" t="s">
        <v>32</v>
      </c>
      <c r="B84">
        <v>2015</v>
      </c>
      <c r="C84" t="s">
        <v>36</v>
      </c>
      <c r="D84" s="2">
        <v>123.8</v>
      </c>
      <c r="E84" s="2">
        <v>128.19999999999999</v>
      </c>
      <c r="F84" s="2">
        <v>110</v>
      </c>
      <c r="G84" s="2">
        <v>126.3</v>
      </c>
      <c r="H84" s="2">
        <v>104.5</v>
      </c>
      <c r="I84" s="2">
        <v>130.6</v>
      </c>
      <c r="J84" s="2">
        <v>130.80000000000001</v>
      </c>
      <c r="K84" s="2">
        <v>131.30000000000001</v>
      </c>
      <c r="L84" s="2">
        <v>91.6</v>
      </c>
      <c r="M84" s="2">
        <v>127.7</v>
      </c>
      <c r="N84" s="2">
        <v>117.2</v>
      </c>
      <c r="O84" s="2">
        <v>129.5</v>
      </c>
      <c r="P84" s="2">
        <v>124.6</v>
      </c>
      <c r="Q84" s="2">
        <v>130.1</v>
      </c>
      <c r="R84" s="2">
        <v>122.1</v>
      </c>
      <c r="S84" s="2">
        <v>117.2</v>
      </c>
      <c r="T84" s="2">
        <v>121.3</v>
      </c>
      <c r="U84" s="2">
        <v>119.2</v>
      </c>
      <c r="V84" s="2">
        <v>114.7</v>
      </c>
      <c r="W84" s="2">
        <v>118.4</v>
      </c>
      <c r="X84" s="2">
        <v>114.6</v>
      </c>
      <c r="Y84" s="2">
        <v>108.4</v>
      </c>
      <c r="Z84" s="2">
        <v>115.6</v>
      </c>
      <c r="AA84" s="2">
        <v>121.7</v>
      </c>
      <c r="AB84" s="2">
        <v>111.8</v>
      </c>
      <c r="AC84" s="2">
        <v>114.2</v>
      </c>
      <c r="AD84" s="2">
        <f>AVERAGE(All_India_Index_Upto_April23_CPI_data[[#This Row],[Cereals and products]:[Food and beverages]])</f>
        <v>121.23846153846154</v>
      </c>
      <c r="AE84" s="2">
        <f>AVERAGE(All_India_Index_Upto_April23_CPI_data[[#This Row],[Recreation and amusement]],All_India_Index_Upto_April23_CPI_data[[#This Row],[Pan, tobacco and intoxicants]])</f>
        <v>122.85</v>
      </c>
      <c r="AF84" s="2">
        <f>AVERAGE(All_India_Index_Upto_April23_CPI_data[[#This Row],[Household goods and services]],All_India_Index_Upto_April23_CPI_data[[#This Row],[Housing]])</f>
        <v>118.80000000000001</v>
      </c>
      <c r="AG84" s="2">
        <f>AVERAGE(All_India_Index_Upto_April23_CPI_data[[#This Row],[Personal care and effects]],All_India_Index_Upto_April23_CPI_data[[#This Row],[Health]])</f>
        <v>113.19999999999999</v>
      </c>
      <c r="AH84" s="2">
        <f>AVERAGE(All_India_Index_Upto_April23_CPI_data[[#This Row],[Clothing]:[Clothing and footwear]])</f>
        <v>120.2</v>
      </c>
      <c r="AI84" s="2">
        <v>119.7</v>
      </c>
      <c r="AJ84" s="1">
        <f>(All_India_Index_Upto_April23_CPI_data[[#This Row],[General index]]-AI81)/AI81</f>
        <v>5.0377833753149333E-3</v>
      </c>
      <c r="BR84" s="11"/>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1"/>
    </row>
    <row r="85" spans="1:103" x14ac:dyDescent="0.25">
      <c r="A85" t="s">
        <v>33</v>
      </c>
      <c r="B85">
        <v>2015</v>
      </c>
      <c r="C85" t="s">
        <v>36</v>
      </c>
      <c r="D85" s="2">
        <v>123.5</v>
      </c>
      <c r="E85" s="2">
        <v>126.4</v>
      </c>
      <c r="F85" s="2">
        <v>114.4</v>
      </c>
      <c r="G85" s="2">
        <v>126.6</v>
      </c>
      <c r="H85" s="2">
        <v>109.2</v>
      </c>
      <c r="I85" s="2">
        <v>132.5</v>
      </c>
      <c r="J85" s="2">
        <v>128.6</v>
      </c>
      <c r="K85" s="2">
        <v>124.8</v>
      </c>
      <c r="L85" s="2">
        <v>95.7</v>
      </c>
      <c r="M85" s="2">
        <v>122.4</v>
      </c>
      <c r="N85" s="2">
        <v>118.5</v>
      </c>
      <c r="O85" s="2">
        <v>129.1</v>
      </c>
      <c r="P85" s="2">
        <v>124</v>
      </c>
      <c r="Q85" s="2">
        <v>126.9</v>
      </c>
      <c r="R85" s="2">
        <v>124.7</v>
      </c>
      <c r="S85" s="2">
        <v>120.8</v>
      </c>
      <c r="T85" s="2">
        <v>124.1</v>
      </c>
      <c r="U85" s="2">
        <v>119.2</v>
      </c>
      <c r="V85" s="2">
        <v>118.7</v>
      </c>
      <c r="W85" s="2">
        <v>119.7</v>
      </c>
      <c r="X85" s="2">
        <v>117.1</v>
      </c>
      <c r="Y85" s="2">
        <v>110.1</v>
      </c>
      <c r="Z85" s="2">
        <v>115.9</v>
      </c>
      <c r="AA85" s="2">
        <v>121</v>
      </c>
      <c r="AB85" s="2">
        <v>111.7</v>
      </c>
      <c r="AC85" s="2">
        <v>115.1</v>
      </c>
      <c r="AD85" s="2">
        <f>AVERAGE(All_India_Index_Upto_April23_CPI_data[[#This Row],[Cereals and products]:[Food and beverages]])</f>
        <v>121.20769230769231</v>
      </c>
      <c r="AE85" s="2">
        <f>AVERAGE(All_India_Index_Upto_April23_CPI_data[[#This Row],[Recreation and amusement]],All_India_Index_Upto_April23_CPI_data[[#This Row],[Pan, tobacco and intoxicants]])</f>
        <v>121.4</v>
      </c>
      <c r="AF85" s="2">
        <f>AVERAGE(All_India_Index_Upto_April23_CPI_data[[#This Row],[Household goods and services]],All_India_Index_Upto_April23_CPI_data[[#This Row],[Housing]])</f>
        <v>119.45</v>
      </c>
      <c r="AG85" s="2">
        <f>AVERAGE(All_India_Index_Upto_April23_CPI_data[[#This Row],[Personal care and effects]],All_India_Index_Upto_April23_CPI_data[[#This Row],[Health]])</f>
        <v>114.4</v>
      </c>
      <c r="AH85" s="2">
        <f>AVERAGE(All_India_Index_Upto_April23_CPI_data[[#This Row],[Clothing]:[Clothing and footwear]])</f>
        <v>123.2</v>
      </c>
      <c r="AI85" s="2">
        <v>120.7</v>
      </c>
      <c r="AJ85" s="1">
        <f>(All_India_Index_Upto_April23_CPI_data[[#This Row],[General index]]-AI82)/AI82</f>
        <v>4.1597337770382693E-3</v>
      </c>
      <c r="BR85" s="11"/>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1"/>
    </row>
    <row r="86" spans="1:103" x14ac:dyDescent="0.25">
      <c r="A86" t="s">
        <v>30</v>
      </c>
      <c r="B86">
        <v>2015</v>
      </c>
      <c r="C86" t="s">
        <v>37</v>
      </c>
      <c r="D86" s="2">
        <v>123.5</v>
      </c>
      <c r="E86" s="2">
        <v>127.1</v>
      </c>
      <c r="F86" s="2">
        <v>117.3</v>
      </c>
      <c r="G86" s="2">
        <v>127.7</v>
      </c>
      <c r="H86" s="2">
        <v>112.5</v>
      </c>
      <c r="I86" s="2">
        <v>134.1</v>
      </c>
      <c r="J86" s="2">
        <v>128.5</v>
      </c>
      <c r="K86" s="2">
        <v>124.3</v>
      </c>
      <c r="L86" s="2">
        <v>97.6</v>
      </c>
      <c r="M86" s="2">
        <v>120.7</v>
      </c>
      <c r="N86" s="2">
        <v>120.2</v>
      </c>
      <c r="O86" s="2">
        <v>129.80000000000001</v>
      </c>
      <c r="P86" s="2">
        <v>124.4</v>
      </c>
      <c r="Q86" s="2">
        <v>126.7</v>
      </c>
      <c r="R86" s="2">
        <v>127.3</v>
      </c>
      <c r="S86" s="2">
        <v>124.1</v>
      </c>
      <c r="T86" s="2">
        <v>126.8</v>
      </c>
      <c r="U86" s="2">
        <v>0</v>
      </c>
      <c r="V86" s="2">
        <v>121.9</v>
      </c>
      <c r="W86" s="2">
        <v>121.5</v>
      </c>
      <c r="X86" s="2">
        <v>119.4</v>
      </c>
      <c r="Y86" s="2">
        <v>113.3</v>
      </c>
      <c r="Z86" s="2">
        <v>116.7</v>
      </c>
      <c r="AA86" s="2">
        <v>120.5</v>
      </c>
      <c r="AB86" s="2">
        <v>112.3</v>
      </c>
      <c r="AC86" s="2">
        <v>116.9</v>
      </c>
      <c r="AD86" s="2">
        <f>AVERAGE(All_India_Index_Upto_April23_CPI_data[[#This Row],[Cereals and products]:[Food and beverages]])</f>
        <v>122.13076923076923</v>
      </c>
      <c r="AE86" s="2">
        <f>AVERAGE(All_India_Index_Upto_April23_CPI_data[[#This Row],[Recreation and amusement]],All_India_Index_Upto_April23_CPI_data[[#This Row],[Pan, tobacco and intoxicants]])</f>
        <v>121.7</v>
      </c>
      <c r="AF86" s="2">
        <f>AVERAGE(All_India_Index_Upto_April23_CPI_data[[#This Row],[Household goods and services]],All_India_Index_Upto_April23_CPI_data[[#This Row],[Housing]])</f>
        <v>60.75</v>
      </c>
      <c r="AG86" s="2">
        <f>AVERAGE(All_India_Index_Upto_April23_CPI_data[[#This Row],[Personal care and effects]],All_India_Index_Upto_April23_CPI_data[[#This Row],[Health]])</f>
        <v>115.85</v>
      </c>
      <c r="AH86" s="2">
        <f>AVERAGE(All_India_Index_Upto_April23_CPI_data[[#This Row],[Clothing]:[Clothing and footwear]])</f>
        <v>126.06666666666666</v>
      </c>
      <c r="AI86" s="2">
        <v>122.4</v>
      </c>
      <c r="AJ86" s="1">
        <f>(All_India_Index_Upto_April23_CPI_data[[#This Row],[General index]]-AI83)/AI83</f>
        <v>7.4074074074074545E-3</v>
      </c>
      <c r="BR86" s="11"/>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1"/>
    </row>
    <row r="87" spans="1:103" x14ac:dyDescent="0.25">
      <c r="A87" t="s">
        <v>32</v>
      </c>
      <c r="B87">
        <v>2015</v>
      </c>
      <c r="C87" t="s">
        <v>37</v>
      </c>
      <c r="D87" s="2">
        <v>123.8</v>
      </c>
      <c r="E87" s="2">
        <v>129.69999999999999</v>
      </c>
      <c r="F87" s="2">
        <v>111.3</v>
      </c>
      <c r="G87" s="2">
        <v>126.6</v>
      </c>
      <c r="H87" s="2">
        <v>105.2</v>
      </c>
      <c r="I87" s="2">
        <v>130.80000000000001</v>
      </c>
      <c r="J87" s="2">
        <v>135.6</v>
      </c>
      <c r="K87" s="2">
        <v>142.6</v>
      </c>
      <c r="L87" s="2">
        <v>90.8</v>
      </c>
      <c r="M87" s="2">
        <v>128.80000000000001</v>
      </c>
      <c r="N87" s="2">
        <v>117.7</v>
      </c>
      <c r="O87" s="2">
        <v>129.9</v>
      </c>
      <c r="P87" s="2">
        <v>126.1</v>
      </c>
      <c r="Q87" s="2">
        <v>131.30000000000001</v>
      </c>
      <c r="R87" s="2">
        <v>122.4</v>
      </c>
      <c r="S87" s="2">
        <v>117.4</v>
      </c>
      <c r="T87" s="2">
        <v>121.6</v>
      </c>
      <c r="U87" s="2">
        <v>119.6</v>
      </c>
      <c r="V87" s="2">
        <v>114.9</v>
      </c>
      <c r="W87" s="2">
        <v>118.7</v>
      </c>
      <c r="X87" s="2">
        <v>114.9</v>
      </c>
      <c r="Y87" s="2">
        <v>110.8</v>
      </c>
      <c r="Z87" s="2">
        <v>116</v>
      </c>
      <c r="AA87" s="2">
        <v>122</v>
      </c>
      <c r="AB87" s="2">
        <v>112.4</v>
      </c>
      <c r="AC87" s="2">
        <v>115.2</v>
      </c>
      <c r="AD87" s="2">
        <f>AVERAGE(All_India_Index_Upto_April23_CPI_data[[#This Row],[Cereals and products]:[Food and beverages]])</f>
        <v>122.9923076923077</v>
      </c>
      <c r="AE87" s="2">
        <f>AVERAGE(All_India_Index_Upto_April23_CPI_data[[#This Row],[Recreation and amusement]],All_India_Index_Upto_April23_CPI_data[[#This Row],[Pan, tobacco and intoxicants]])</f>
        <v>123.65</v>
      </c>
      <c r="AF87" s="2">
        <f>AVERAGE(All_India_Index_Upto_April23_CPI_data[[#This Row],[Household goods and services]],All_India_Index_Upto_April23_CPI_data[[#This Row],[Housing]])</f>
        <v>119.15</v>
      </c>
      <c r="AG87" s="2">
        <f>AVERAGE(All_India_Index_Upto_April23_CPI_data[[#This Row],[Personal care and effects]],All_India_Index_Upto_April23_CPI_data[[#This Row],[Health]])</f>
        <v>113.65</v>
      </c>
      <c r="AH87" s="2">
        <f>AVERAGE(All_India_Index_Upto_April23_CPI_data[[#This Row],[Clothing]:[Clothing and footwear]])</f>
        <v>120.46666666666665</v>
      </c>
      <c r="AI87" s="2">
        <v>120.7</v>
      </c>
      <c r="AJ87" s="1">
        <f>(All_India_Index_Upto_April23_CPI_data[[#This Row],[General index]]-AI84)/AI84</f>
        <v>8.3542188805346695E-3</v>
      </c>
      <c r="BR87" s="11"/>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1"/>
    </row>
    <row r="88" spans="1:103" x14ac:dyDescent="0.25">
      <c r="A88" t="s">
        <v>33</v>
      </c>
      <c r="B88">
        <v>2015</v>
      </c>
      <c r="C88" t="s">
        <v>37</v>
      </c>
      <c r="D88" s="2">
        <v>123.6</v>
      </c>
      <c r="E88" s="2">
        <v>128</v>
      </c>
      <c r="F88" s="2">
        <v>115</v>
      </c>
      <c r="G88" s="2">
        <v>127.3</v>
      </c>
      <c r="H88" s="2">
        <v>109.8</v>
      </c>
      <c r="I88" s="2">
        <v>132.6</v>
      </c>
      <c r="J88" s="2">
        <v>130.9</v>
      </c>
      <c r="K88" s="2">
        <v>130.5</v>
      </c>
      <c r="L88" s="2">
        <v>95.3</v>
      </c>
      <c r="M88" s="2">
        <v>123.4</v>
      </c>
      <c r="N88" s="2">
        <v>119.2</v>
      </c>
      <c r="O88" s="2">
        <v>129.80000000000001</v>
      </c>
      <c r="P88" s="2">
        <v>125</v>
      </c>
      <c r="Q88" s="2">
        <v>127.9</v>
      </c>
      <c r="R88" s="2">
        <v>125.4</v>
      </c>
      <c r="S88" s="2">
        <v>121.3</v>
      </c>
      <c r="T88" s="2">
        <v>124.7</v>
      </c>
      <c r="U88" s="2">
        <v>119.6</v>
      </c>
      <c r="V88" s="2">
        <v>119.2</v>
      </c>
      <c r="W88" s="2">
        <v>120.2</v>
      </c>
      <c r="X88" s="2">
        <v>117.7</v>
      </c>
      <c r="Y88" s="2">
        <v>112</v>
      </c>
      <c r="Z88" s="2">
        <v>116.3</v>
      </c>
      <c r="AA88" s="2">
        <v>121.4</v>
      </c>
      <c r="AB88" s="2">
        <v>112.3</v>
      </c>
      <c r="AC88" s="2">
        <v>116.1</v>
      </c>
      <c r="AD88" s="2">
        <f>AVERAGE(All_India_Index_Upto_April23_CPI_data[[#This Row],[Cereals and products]:[Food and beverages]])</f>
        <v>122.33846153846154</v>
      </c>
      <c r="AE88" s="2">
        <f>AVERAGE(All_India_Index_Upto_April23_CPI_data[[#This Row],[Recreation and amusement]],All_India_Index_Upto_April23_CPI_data[[#This Row],[Pan, tobacco and intoxicants]])</f>
        <v>122.1</v>
      </c>
      <c r="AF88" s="2">
        <f>AVERAGE(All_India_Index_Upto_April23_CPI_data[[#This Row],[Household goods and services]],All_India_Index_Upto_April23_CPI_data[[#This Row],[Housing]])</f>
        <v>119.9</v>
      </c>
      <c r="AG88" s="2">
        <f>AVERAGE(All_India_Index_Upto_April23_CPI_data[[#This Row],[Personal care and effects]],All_India_Index_Upto_April23_CPI_data[[#This Row],[Health]])</f>
        <v>115</v>
      </c>
      <c r="AH88" s="2">
        <f>AVERAGE(All_India_Index_Upto_April23_CPI_data[[#This Row],[Clothing]:[Clothing and footwear]])</f>
        <v>123.8</v>
      </c>
      <c r="AI88" s="2">
        <v>121.6</v>
      </c>
      <c r="AJ88" s="1">
        <f>(All_India_Index_Upto_April23_CPI_data[[#This Row],[General index]]-AI85)/AI85</f>
        <v>7.4565037282517937E-3</v>
      </c>
      <c r="BR88" s="11"/>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1"/>
    </row>
    <row r="89" spans="1:103" x14ac:dyDescent="0.25">
      <c r="A89" t="s">
        <v>30</v>
      </c>
      <c r="B89">
        <v>2015</v>
      </c>
      <c r="C89" t="s">
        <v>38</v>
      </c>
      <c r="D89" s="2">
        <v>124.1</v>
      </c>
      <c r="E89" s="2">
        <v>130.4</v>
      </c>
      <c r="F89" s="2">
        <v>122.1</v>
      </c>
      <c r="G89" s="2">
        <v>128.69999999999999</v>
      </c>
      <c r="H89" s="2">
        <v>114.1</v>
      </c>
      <c r="I89" s="2">
        <v>133.19999999999999</v>
      </c>
      <c r="J89" s="2">
        <v>135.19999999999999</v>
      </c>
      <c r="K89" s="2">
        <v>131.9</v>
      </c>
      <c r="L89" s="2">
        <v>96.3</v>
      </c>
      <c r="M89" s="2">
        <v>123</v>
      </c>
      <c r="N89" s="2">
        <v>121.1</v>
      </c>
      <c r="O89" s="2">
        <v>131.19999999999999</v>
      </c>
      <c r="P89" s="2">
        <v>126.6</v>
      </c>
      <c r="Q89" s="2">
        <v>128.19999999999999</v>
      </c>
      <c r="R89" s="2">
        <v>128.4</v>
      </c>
      <c r="S89" s="2">
        <v>125.1</v>
      </c>
      <c r="T89" s="2">
        <v>128</v>
      </c>
      <c r="U89" s="2">
        <v>0</v>
      </c>
      <c r="V89" s="2">
        <v>122.6</v>
      </c>
      <c r="W89" s="2">
        <v>122.8</v>
      </c>
      <c r="X89" s="2">
        <v>120.4</v>
      </c>
      <c r="Y89" s="2">
        <v>114.2</v>
      </c>
      <c r="Z89" s="2">
        <v>117.9</v>
      </c>
      <c r="AA89" s="2">
        <v>122</v>
      </c>
      <c r="AB89" s="2">
        <v>113</v>
      </c>
      <c r="AC89" s="2">
        <v>117.9</v>
      </c>
      <c r="AD89" s="2">
        <f>AVERAGE(All_India_Index_Upto_April23_CPI_data[[#This Row],[Cereals and products]:[Food and beverages]])</f>
        <v>124.45384615384614</v>
      </c>
      <c r="AE89" s="2">
        <f>AVERAGE(All_India_Index_Upto_April23_CPI_data[[#This Row],[Recreation and amusement]],All_India_Index_Upto_April23_CPI_data[[#This Row],[Pan, tobacco and intoxicants]])</f>
        <v>123.05</v>
      </c>
      <c r="AF89" s="2">
        <f>AVERAGE(All_India_Index_Upto_April23_CPI_data[[#This Row],[Household goods and services]],All_India_Index_Upto_April23_CPI_data[[#This Row],[Housing]])</f>
        <v>61.4</v>
      </c>
      <c r="AG89" s="2">
        <f>AVERAGE(All_India_Index_Upto_April23_CPI_data[[#This Row],[Personal care and effects]],All_India_Index_Upto_April23_CPI_data[[#This Row],[Health]])</f>
        <v>116.7</v>
      </c>
      <c r="AH89" s="2">
        <f>AVERAGE(All_India_Index_Upto_April23_CPI_data[[#This Row],[Clothing]:[Clothing and footwear]])</f>
        <v>127.16666666666667</v>
      </c>
      <c r="AI89" s="2">
        <v>124.1</v>
      </c>
      <c r="AJ89" s="1">
        <f>(All_India_Index_Upto_April23_CPI_data[[#This Row],[General index]]-AI86)/AI86</f>
        <v>1.3888888888888796E-2</v>
      </c>
    </row>
    <row r="90" spans="1:103" x14ac:dyDescent="0.25">
      <c r="A90" t="s">
        <v>32</v>
      </c>
      <c r="B90">
        <v>2015</v>
      </c>
      <c r="C90" t="s">
        <v>38</v>
      </c>
      <c r="D90" s="2">
        <v>123.6</v>
      </c>
      <c r="E90" s="2">
        <v>134.4</v>
      </c>
      <c r="F90" s="2">
        <v>120.9</v>
      </c>
      <c r="G90" s="2">
        <v>127.3</v>
      </c>
      <c r="H90" s="2">
        <v>106</v>
      </c>
      <c r="I90" s="2">
        <v>132.30000000000001</v>
      </c>
      <c r="J90" s="2">
        <v>146.69999999999999</v>
      </c>
      <c r="K90" s="2">
        <v>148.1</v>
      </c>
      <c r="L90" s="2">
        <v>89.8</v>
      </c>
      <c r="M90" s="2">
        <v>130.5</v>
      </c>
      <c r="N90" s="2">
        <v>118</v>
      </c>
      <c r="O90" s="2">
        <v>130.5</v>
      </c>
      <c r="P90" s="2">
        <v>128.5</v>
      </c>
      <c r="Q90" s="2">
        <v>132.1</v>
      </c>
      <c r="R90" s="2">
        <v>123.2</v>
      </c>
      <c r="S90" s="2">
        <v>117.6</v>
      </c>
      <c r="T90" s="2">
        <v>122.3</v>
      </c>
      <c r="U90" s="2">
        <v>119</v>
      </c>
      <c r="V90" s="2">
        <v>115.1</v>
      </c>
      <c r="W90" s="2">
        <v>119.2</v>
      </c>
      <c r="X90" s="2">
        <v>115.4</v>
      </c>
      <c r="Y90" s="2">
        <v>111.7</v>
      </c>
      <c r="Z90" s="2">
        <v>116.2</v>
      </c>
      <c r="AA90" s="2">
        <v>123.8</v>
      </c>
      <c r="AB90" s="2">
        <v>112.5</v>
      </c>
      <c r="AC90" s="2">
        <v>116</v>
      </c>
      <c r="AD90" s="2">
        <f>AVERAGE(All_India_Index_Upto_April23_CPI_data[[#This Row],[Cereals and products]:[Food and beverages]])</f>
        <v>125.89230769230768</v>
      </c>
      <c r="AE90" s="2">
        <f>AVERAGE(All_India_Index_Upto_April23_CPI_data[[#This Row],[Recreation and amusement]],All_India_Index_Upto_April23_CPI_data[[#This Row],[Pan, tobacco and intoxicants]])</f>
        <v>124.15</v>
      </c>
      <c r="AF90" s="2">
        <f>AVERAGE(All_India_Index_Upto_April23_CPI_data[[#This Row],[Household goods and services]],All_India_Index_Upto_April23_CPI_data[[#This Row],[Housing]])</f>
        <v>119.1</v>
      </c>
      <c r="AG90" s="2">
        <f>AVERAGE(All_India_Index_Upto_April23_CPI_data[[#This Row],[Personal care and effects]],All_India_Index_Upto_April23_CPI_data[[#This Row],[Health]])</f>
        <v>113.95</v>
      </c>
      <c r="AH90" s="2">
        <f>AVERAGE(All_India_Index_Upto_April23_CPI_data[[#This Row],[Clothing]:[Clothing and footwear]])</f>
        <v>121.03333333333335</v>
      </c>
      <c r="AI90" s="2">
        <v>121.7</v>
      </c>
      <c r="AJ90" s="1">
        <f>(All_India_Index_Upto_April23_CPI_data[[#This Row],[General index]]-AI87)/AI87</f>
        <v>8.2850041425020712E-3</v>
      </c>
    </row>
    <row r="91" spans="1:103" x14ac:dyDescent="0.25">
      <c r="A91" t="s">
        <v>33</v>
      </c>
      <c r="B91">
        <v>2015</v>
      </c>
      <c r="C91" t="s">
        <v>38</v>
      </c>
      <c r="D91" s="2">
        <v>123.9</v>
      </c>
      <c r="E91" s="2">
        <v>131.80000000000001</v>
      </c>
      <c r="F91" s="2">
        <v>121.6</v>
      </c>
      <c r="G91" s="2">
        <v>128.19999999999999</v>
      </c>
      <c r="H91" s="2">
        <v>111.1</v>
      </c>
      <c r="I91" s="2">
        <v>132.80000000000001</v>
      </c>
      <c r="J91" s="2">
        <v>139.1</v>
      </c>
      <c r="K91" s="2">
        <v>137.4</v>
      </c>
      <c r="L91" s="2">
        <v>94.1</v>
      </c>
      <c r="M91" s="2">
        <v>125.5</v>
      </c>
      <c r="N91" s="2">
        <v>119.8</v>
      </c>
      <c r="O91" s="2">
        <v>130.9</v>
      </c>
      <c r="P91" s="2">
        <v>127.3</v>
      </c>
      <c r="Q91" s="2">
        <v>129.19999999999999</v>
      </c>
      <c r="R91" s="2">
        <v>126.4</v>
      </c>
      <c r="S91" s="2">
        <v>122</v>
      </c>
      <c r="T91" s="2">
        <v>125.7</v>
      </c>
      <c r="U91" s="2">
        <v>119</v>
      </c>
      <c r="V91" s="2">
        <v>119.8</v>
      </c>
      <c r="W91" s="2">
        <v>121.1</v>
      </c>
      <c r="X91" s="2">
        <v>118.5</v>
      </c>
      <c r="Y91" s="2">
        <v>112.9</v>
      </c>
      <c r="Z91" s="2">
        <v>116.9</v>
      </c>
      <c r="AA91" s="2">
        <v>123.1</v>
      </c>
      <c r="AB91" s="2">
        <v>112.8</v>
      </c>
      <c r="AC91" s="2">
        <v>117</v>
      </c>
      <c r="AD91" s="2">
        <f>AVERAGE(All_India_Index_Upto_April23_CPI_data[[#This Row],[Cereals and products]:[Food and beverages]])</f>
        <v>124.88461538461539</v>
      </c>
      <c r="AE91" s="2">
        <f>AVERAGE(All_India_Index_Upto_April23_CPI_data[[#This Row],[Recreation and amusement]],All_India_Index_Upto_April23_CPI_data[[#This Row],[Pan, tobacco and intoxicants]])</f>
        <v>123.05</v>
      </c>
      <c r="AF91" s="2">
        <f>AVERAGE(All_India_Index_Upto_April23_CPI_data[[#This Row],[Household goods and services]],All_India_Index_Upto_April23_CPI_data[[#This Row],[Housing]])</f>
        <v>120.05</v>
      </c>
      <c r="AG91" s="2">
        <f>AVERAGE(All_India_Index_Upto_April23_CPI_data[[#This Row],[Personal care and effects]],All_India_Index_Upto_April23_CPI_data[[#This Row],[Health]])</f>
        <v>115.65</v>
      </c>
      <c r="AH91" s="2">
        <f>AVERAGE(All_India_Index_Upto_April23_CPI_data[[#This Row],[Clothing]:[Clothing and footwear]])</f>
        <v>124.7</v>
      </c>
      <c r="AI91" s="2">
        <v>123</v>
      </c>
      <c r="AJ91" s="1">
        <f>(All_India_Index_Upto_April23_CPI_data[[#This Row],[General index]]-AI88)/AI88</f>
        <v>1.151315789473689E-2</v>
      </c>
    </row>
    <row r="92" spans="1:103" x14ac:dyDescent="0.25">
      <c r="A92" t="s">
        <v>30</v>
      </c>
      <c r="B92">
        <v>2015</v>
      </c>
      <c r="C92" t="s">
        <v>39</v>
      </c>
      <c r="D92" s="2">
        <v>124</v>
      </c>
      <c r="E92" s="2">
        <v>131.5</v>
      </c>
      <c r="F92" s="2">
        <v>122</v>
      </c>
      <c r="G92" s="2">
        <v>128.69999999999999</v>
      </c>
      <c r="H92" s="2">
        <v>113.5</v>
      </c>
      <c r="I92" s="2">
        <v>133.30000000000001</v>
      </c>
      <c r="J92" s="2">
        <v>140.80000000000001</v>
      </c>
      <c r="K92" s="2">
        <v>133.80000000000001</v>
      </c>
      <c r="L92" s="2">
        <v>94.1</v>
      </c>
      <c r="M92" s="2">
        <v>123.4</v>
      </c>
      <c r="N92" s="2">
        <v>121</v>
      </c>
      <c r="O92" s="2">
        <v>131.69999999999999</v>
      </c>
      <c r="P92" s="2">
        <v>127.5</v>
      </c>
      <c r="Q92" s="2">
        <v>129.4</v>
      </c>
      <c r="R92" s="2">
        <v>128.80000000000001</v>
      </c>
      <c r="S92" s="2">
        <v>125.5</v>
      </c>
      <c r="T92" s="2">
        <v>128.30000000000001</v>
      </c>
      <c r="U92" s="2">
        <v>0</v>
      </c>
      <c r="V92" s="2">
        <v>123</v>
      </c>
      <c r="W92" s="2">
        <v>123</v>
      </c>
      <c r="X92" s="2">
        <v>120.8</v>
      </c>
      <c r="Y92" s="2">
        <v>114.1</v>
      </c>
      <c r="Z92" s="2">
        <v>118</v>
      </c>
      <c r="AA92" s="2">
        <v>122.9</v>
      </c>
      <c r="AB92" s="2">
        <v>112.7</v>
      </c>
      <c r="AC92" s="2">
        <v>118.1</v>
      </c>
      <c r="AD92" s="2">
        <f>AVERAGE(All_India_Index_Upto_April23_CPI_data[[#This Row],[Cereals and products]:[Food and beverages]])</f>
        <v>125.02307692307691</v>
      </c>
      <c r="AE92" s="2">
        <f>AVERAGE(All_India_Index_Upto_April23_CPI_data[[#This Row],[Recreation and amusement]],All_India_Index_Upto_April23_CPI_data[[#This Row],[Pan, tobacco and intoxicants]])</f>
        <v>123.7</v>
      </c>
      <c r="AF92" s="2">
        <f>AVERAGE(All_India_Index_Upto_April23_CPI_data[[#This Row],[Household goods and services]],All_India_Index_Upto_April23_CPI_data[[#This Row],[Housing]])</f>
        <v>61.5</v>
      </c>
      <c r="AG92" s="2">
        <f>AVERAGE(All_India_Index_Upto_April23_CPI_data[[#This Row],[Personal care and effects]],All_India_Index_Upto_April23_CPI_data[[#This Row],[Health]])</f>
        <v>116.75</v>
      </c>
      <c r="AH92" s="2">
        <f>AVERAGE(All_India_Index_Upto_April23_CPI_data[[#This Row],[Clothing]:[Clothing and footwear]])</f>
        <v>127.53333333333335</v>
      </c>
      <c r="AI92" s="2">
        <v>124.7</v>
      </c>
      <c r="AJ92" s="1">
        <f>(All_India_Index_Upto_April23_CPI_data[[#This Row],[General index]]-AI89)/AI89</f>
        <v>4.8348106365834692E-3</v>
      </c>
    </row>
    <row r="93" spans="1:103" x14ac:dyDescent="0.25">
      <c r="A93" t="s">
        <v>32</v>
      </c>
      <c r="B93">
        <v>2015</v>
      </c>
      <c r="C93" t="s">
        <v>39</v>
      </c>
      <c r="D93" s="2">
        <v>123.2</v>
      </c>
      <c r="E93" s="2">
        <v>134.30000000000001</v>
      </c>
      <c r="F93" s="2">
        <v>119.5</v>
      </c>
      <c r="G93" s="2">
        <v>127.7</v>
      </c>
      <c r="H93" s="2">
        <v>106.3</v>
      </c>
      <c r="I93" s="2">
        <v>132.80000000000001</v>
      </c>
      <c r="J93" s="2">
        <v>153.5</v>
      </c>
      <c r="K93" s="2">
        <v>149.5</v>
      </c>
      <c r="L93" s="2">
        <v>85.7</v>
      </c>
      <c r="M93" s="2">
        <v>131.5</v>
      </c>
      <c r="N93" s="2">
        <v>118.3</v>
      </c>
      <c r="O93" s="2">
        <v>131.1</v>
      </c>
      <c r="P93" s="2">
        <v>129.5</v>
      </c>
      <c r="Q93" s="2">
        <v>133.1</v>
      </c>
      <c r="R93" s="2">
        <v>123.5</v>
      </c>
      <c r="S93" s="2">
        <v>117.9</v>
      </c>
      <c r="T93" s="2">
        <v>122.7</v>
      </c>
      <c r="U93" s="2">
        <v>119.9</v>
      </c>
      <c r="V93" s="2">
        <v>115.3</v>
      </c>
      <c r="W93" s="2">
        <v>119.5</v>
      </c>
      <c r="X93" s="2">
        <v>116</v>
      </c>
      <c r="Y93" s="2">
        <v>111.5</v>
      </c>
      <c r="Z93" s="2">
        <v>116.6</v>
      </c>
      <c r="AA93" s="2">
        <v>125.4</v>
      </c>
      <c r="AB93" s="2">
        <v>111.7</v>
      </c>
      <c r="AC93" s="2">
        <v>116.3</v>
      </c>
      <c r="AD93" s="2">
        <f>AVERAGE(All_India_Index_Upto_April23_CPI_data[[#This Row],[Cereals and products]:[Food and beverages]])</f>
        <v>126.37692307692306</v>
      </c>
      <c r="AE93" s="2">
        <f>AVERAGE(All_India_Index_Upto_April23_CPI_data[[#This Row],[Recreation and amusement]],All_India_Index_Upto_April23_CPI_data[[#This Row],[Pan, tobacco and intoxicants]])</f>
        <v>124.85</v>
      </c>
      <c r="AF93" s="2">
        <f>AVERAGE(All_India_Index_Upto_April23_CPI_data[[#This Row],[Household goods and services]],All_India_Index_Upto_April23_CPI_data[[#This Row],[Housing]])</f>
        <v>119.7</v>
      </c>
      <c r="AG93" s="2">
        <f>AVERAGE(All_India_Index_Upto_April23_CPI_data[[#This Row],[Personal care and effects]],All_India_Index_Upto_April23_CPI_data[[#This Row],[Health]])</f>
        <v>113.85</v>
      </c>
      <c r="AH93" s="2">
        <f>AVERAGE(All_India_Index_Upto_April23_CPI_data[[#This Row],[Clothing]:[Clothing and footwear]])</f>
        <v>121.36666666666667</v>
      </c>
      <c r="AI93" s="2">
        <v>122.4</v>
      </c>
      <c r="AJ93" s="1">
        <f>(All_India_Index_Upto_April23_CPI_data[[#This Row],[General index]]-AI90)/AI90</f>
        <v>5.7518488085456275E-3</v>
      </c>
    </row>
    <row r="94" spans="1:103" x14ac:dyDescent="0.25">
      <c r="A94" t="s">
        <v>33</v>
      </c>
      <c r="B94">
        <v>2015</v>
      </c>
      <c r="C94" t="s">
        <v>39</v>
      </c>
      <c r="D94" s="2">
        <v>123.7</v>
      </c>
      <c r="E94" s="2">
        <v>132.5</v>
      </c>
      <c r="F94" s="2">
        <v>121</v>
      </c>
      <c r="G94" s="2">
        <v>128.30000000000001</v>
      </c>
      <c r="H94" s="2">
        <v>110.9</v>
      </c>
      <c r="I94" s="2">
        <v>133.1</v>
      </c>
      <c r="J94" s="2">
        <v>145.1</v>
      </c>
      <c r="K94" s="2">
        <v>139.1</v>
      </c>
      <c r="L94" s="2">
        <v>91.3</v>
      </c>
      <c r="M94" s="2">
        <v>126.1</v>
      </c>
      <c r="N94" s="2">
        <v>119.9</v>
      </c>
      <c r="O94" s="2">
        <v>131.4</v>
      </c>
      <c r="P94" s="2">
        <v>128.19999999999999</v>
      </c>
      <c r="Q94" s="2">
        <v>130.4</v>
      </c>
      <c r="R94" s="2">
        <v>126.7</v>
      </c>
      <c r="S94" s="2">
        <v>122.3</v>
      </c>
      <c r="T94" s="2">
        <v>126.1</v>
      </c>
      <c r="U94" s="2">
        <v>119.9</v>
      </c>
      <c r="V94" s="2">
        <v>120.1</v>
      </c>
      <c r="W94" s="2">
        <v>121.3</v>
      </c>
      <c r="X94" s="2">
        <v>119</v>
      </c>
      <c r="Y94" s="2">
        <v>112.7</v>
      </c>
      <c r="Z94" s="2">
        <v>117.2</v>
      </c>
      <c r="AA94" s="2">
        <v>124.4</v>
      </c>
      <c r="AB94" s="2">
        <v>112.3</v>
      </c>
      <c r="AC94" s="2">
        <v>117.2</v>
      </c>
      <c r="AD94" s="2">
        <f>AVERAGE(All_India_Index_Upto_April23_CPI_data[[#This Row],[Cereals and products]:[Food and beverages]])</f>
        <v>125.43076923076924</v>
      </c>
      <c r="AE94" s="2">
        <f>AVERAGE(All_India_Index_Upto_April23_CPI_data[[#This Row],[Recreation and amusement]],All_India_Index_Upto_April23_CPI_data[[#This Row],[Pan, tobacco and intoxicants]])</f>
        <v>123.80000000000001</v>
      </c>
      <c r="AF94" s="2">
        <f>AVERAGE(All_India_Index_Upto_April23_CPI_data[[#This Row],[Household goods and services]],All_India_Index_Upto_April23_CPI_data[[#This Row],[Housing]])</f>
        <v>120.6</v>
      </c>
      <c r="AG94" s="2">
        <f>AVERAGE(All_India_Index_Upto_April23_CPI_data[[#This Row],[Personal care and effects]],All_India_Index_Upto_April23_CPI_data[[#This Row],[Health]])</f>
        <v>115.65</v>
      </c>
      <c r="AH94" s="2">
        <f>AVERAGE(All_India_Index_Upto_April23_CPI_data[[#This Row],[Clothing]:[Clothing and footwear]])</f>
        <v>125.03333333333335</v>
      </c>
      <c r="AI94" s="2">
        <v>123.6</v>
      </c>
      <c r="AJ94" s="1">
        <f>(All_India_Index_Upto_April23_CPI_data[[#This Row],[General index]]-AI91)/AI91</f>
        <v>4.8780487804877589E-3</v>
      </c>
    </row>
    <row r="95" spans="1:103" x14ac:dyDescent="0.25">
      <c r="A95" t="s">
        <v>30</v>
      </c>
      <c r="B95">
        <v>2015</v>
      </c>
      <c r="C95" t="s">
        <v>40</v>
      </c>
      <c r="D95" s="2">
        <v>124.7</v>
      </c>
      <c r="E95" s="2">
        <v>131.30000000000001</v>
      </c>
      <c r="F95" s="2">
        <v>121.3</v>
      </c>
      <c r="G95" s="2">
        <v>128.80000000000001</v>
      </c>
      <c r="H95" s="2">
        <v>114</v>
      </c>
      <c r="I95" s="2">
        <v>134.19999999999999</v>
      </c>
      <c r="J95" s="2">
        <v>153.6</v>
      </c>
      <c r="K95" s="2">
        <v>137.9</v>
      </c>
      <c r="L95" s="2">
        <v>93.1</v>
      </c>
      <c r="M95" s="2">
        <v>123.9</v>
      </c>
      <c r="N95" s="2">
        <v>121.5</v>
      </c>
      <c r="O95" s="2">
        <v>132.5</v>
      </c>
      <c r="P95" s="2">
        <v>129.80000000000001</v>
      </c>
      <c r="Q95" s="2">
        <v>130.1</v>
      </c>
      <c r="R95" s="2">
        <v>129.5</v>
      </c>
      <c r="S95" s="2">
        <v>126.3</v>
      </c>
      <c r="T95" s="2">
        <v>129</v>
      </c>
      <c r="U95" s="2">
        <v>0</v>
      </c>
      <c r="V95" s="2">
        <v>123.8</v>
      </c>
      <c r="W95" s="2">
        <v>123.7</v>
      </c>
      <c r="X95" s="2">
        <v>121.1</v>
      </c>
      <c r="Y95" s="2">
        <v>113.6</v>
      </c>
      <c r="Z95" s="2">
        <v>118.5</v>
      </c>
      <c r="AA95" s="2">
        <v>123.6</v>
      </c>
      <c r="AB95" s="2">
        <v>112.5</v>
      </c>
      <c r="AC95" s="2">
        <v>118.2</v>
      </c>
      <c r="AD95" s="2">
        <f>AVERAGE(All_India_Index_Upto_April23_CPI_data[[#This Row],[Cereals and products]:[Food and beverages]])</f>
        <v>126.66153846153846</v>
      </c>
      <c r="AE95" s="2">
        <f>AVERAGE(All_India_Index_Upto_April23_CPI_data[[#This Row],[Recreation and amusement]],All_India_Index_Upto_April23_CPI_data[[#This Row],[Pan, tobacco and intoxicants]])</f>
        <v>124.3</v>
      </c>
      <c r="AF95" s="2">
        <f>AVERAGE(All_India_Index_Upto_April23_CPI_data[[#This Row],[Household goods and services]],All_India_Index_Upto_April23_CPI_data[[#This Row],[Housing]])</f>
        <v>61.85</v>
      </c>
      <c r="AG95" s="2">
        <f>AVERAGE(All_India_Index_Upto_April23_CPI_data[[#This Row],[Personal care and effects]],All_India_Index_Upto_April23_CPI_data[[#This Row],[Health]])</f>
        <v>116.8</v>
      </c>
      <c r="AH95" s="2">
        <f>AVERAGE(All_India_Index_Upto_April23_CPI_data[[#This Row],[Clothing]:[Clothing and footwear]])</f>
        <v>128.26666666666668</v>
      </c>
      <c r="AI95" s="2">
        <v>126.1</v>
      </c>
      <c r="AJ95" s="1">
        <f>(All_India_Index_Upto_April23_CPI_data[[#This Row],[General index]]-AI92)/AI92</f>
        <v>1.1226944667201215E-2</v>
      </c>
    </row>
    <row r="96" spans="1:103" x14ac:dyDescent="0.25">
      <c r="A96" t="s">
        <v>32</v>
      </c>
      <c r="B96">
        <v>2015</v>
      </c>
      <c r="C96" t="s">
        <v>40</v>
      </c>
      <c r="D96" s="2">
        <v>123.1</v>
      </c>
      <c r="E96" s="2">
        <v>131.69999999999999</v>
      </c>
      <c r="F96" s="2">
        <v>118.1</v>
      </c>
      <c r="G96" s="2">
        <v>128</v>
      </c>
      <c r="H96" s="2">
        <v>106.8</v>
      </c>
      <c r="I96" s="2">
        <v>130.1</v>
      </c>
      <c r="J96" s="2">
        <v>165.5</v>
      </c>
      <c r="K96" s="2">
        <v>156</v>
      </c>
      <c r="L96" s="2">
        <v>85.3</v>
      </c>
      <c r="M96" s="2">
        <v>132.69999999999999</v>
      </c>
      <c r="N96" s="2">
        <v>118.8</v>
      </c>
      <c r="O96" s="2">
        <v>131.69999999999999</v>
      </c>
      <c r="P96" s="2">
        <v>131.1</v>
      </c>
      <c r="Q96" s="2">
        <v>134.19999999999999</v>
      </c>
      <c r="R96" s="2">
        <v>123.7</v>
      </c>
      <c r="S96" s="2">
        <v>118.2</v>
      </c>
      <c r="T96" s="2">
        <v>122.9</v>
      </c>
      <c r="U96" s="2">
        <v>120.9</v>
      </c>
      <c r="V96" s="2">
        <v>115.3</v>
      </c>
      <c r="W96" s="2">
        <v>120</v>
      </c>
      <c r="X96" s="2">
        <v>116.6</v>
      </c>
      <c r="Y96" s="2">
        <v>109.9</v>
      </c>
      <c r="Z96" s="2">
        <v>117.2</v>
      </c>
      <c r="AA96" s="2">
        <v>126.2</v>
      </c>
      <c r="AB96" s="2">
        <v>112</v>
      </c>
      <c r="AC96" s="2">
        <v>116.2</v>
      </c>
      <c r="AD96" s="2">
        <f>AVERAGE(All_India_Index_Upto_April23_CPI_data[[#This Row],[Cereals and products]:[Food and beverages]])</f>
        <v>127.6076923076923</v>
      </c>
      <c r="AE96" s="2">
        <f>AVERAGE(All_India_Index_Upto_April23_CPI_data[[#This Row],[Recreation and amusement]],All_India_Index_Upto_April23_CPI_data[[#This Row],[Pan, tobacco and intoxicants]])</f>
        <v>125.69999999999999</v>
      </c>
      <c r="AF96" s="2">
        <f>AVERAGE(All_India_Index_Upto_April23_CPI_data[[#This Row],[Household goods and services]],All_India_Index_Upto_April23_CPI_data[[#This Row],[Housing]])</f>
        <v>120.45</v>
      </c>
      <c r="AG96" s="2">
        <f>AVERAGE(All_India_Index_Upto_April23_CPI_data[[#This Row],[Personal care and effects]],All_India_Index_Upto_April23_CPI_data[[#This Row],[Health]])</f>
        <v>114.3</v>
      </c>
      <c r="AH96" s="2">
        <f>AVERAGE(All_India_Index_Upto_April23_CPI_data[[#This Row],[Clothing]:[Clothing and footwear]])</f>
        <v>121.60000000000001</v>
      </c>
      <c r="AI96" s="2">
        <v>123.2</v>
      </c>
      <c r="AJ96" s="1">
        <f>(All_India_Index_Upto_April23_CPI_data[[#This Row],[General index]]-AI93)/AI93</f>
        <v>6.5359477124182774E-3</v>
      </c>
    </row>
    <row r="97" spans="1:36" x14ac:dyDescent="0.25">
      <c r="A97" t="s">
        <v>33</v>
      </c>
      <c r="B97">
        <v>2015</v>
      </c>
      <c r="C97" t="s">
        <v>40</v>
      </c>
      <c r="D97" s="2">
        <v>124.2</v>
      </c>
      <c r="E97" s="2">
        <v>131.4</v>
      </c>
      <c r="F97" s="2">
        <v>120.1</v>
      </c>
      <c r="G97" s="2">
        <v>128.5</v>
      </c>
      <c r="H97" s="2">
        <v>111.4</v>
      </c>
      <c r="I97" s="2">
        <v>132.30000000000001</v>
      </c>
      <c r="J97" s="2">
        <v>157.6</v>
      </c>
      <c r="K97" s="2">
        <v>144</v>
      </c>
      <c r="L97" s="2">
        <v>90.5</v>
      </c>
      <c r="M97" s="2">
        <v>126.8</v>
      </c>
      <c r="N97" s="2">
        <v>120.4</v>
      </c>
      <c r="O97" s="2">
        <v>132.1</v>
      </c>
      <c r="P97" s="2">
        <v>130.30000000000001</v>
      </c>
      <c r="Q97" s="2">
        <v>131.19999999999999</v>
      </c>
      <c r="R97" s="2">
        <v>127.2</v>
      </c>
      <c r="S97" s="2">
        <v>122.9</v>
      </c>
      <c r="T97" s="2">
        <v>126.6</v>
      </c>
      <c r="U97" s="2">
        <v>120.9</v>
      </c>
      <c r="V97" s="2">
        <v>120.6</v>
      </c>
      <c r="W97" s="2">
        <v>122</v>
      </c>
      <c r="X97" s="2">
        <v>119.4</v>
      </c>
      <c r="Y97" s="2">
        <v>111.7</v>
      </c>
      <c r="Z97" s="2">
        <v>117.8</v>
      </c>
      <c r="AA97" s="2">
        <v>125.1</v>
      </c>
      <c r="AB97" s="2">
        <v>112.3</v>
      </c>
      <c r="AC97" s="2">
        <v>117.2</v>
      </c>
      <c r="AD97" s="2">
        <f>AVERAGE(All_India_Index_Upto_April23_CPI_data[[#This Row],[Cereals and products]:[Food and beverages]])</f>
        <v>126.89230769230768</v>
      </c>
      <c r="AE97" s="2">
        <f>AVERAGE(All_India_Index_Upto_April23_CPI_data[[#This Row],[Recreation and amusement]],All_India_Index_Upto_April23_CPI_data[[#This Row],[Pan, tobacco and intoxicants]])</f>
        <v>124.5</v>
      </c>
      <c r="AF97" s="2">
        <f>AVERAGE(All_India_Index_Upto_April23_CPI_data[[#This Row],[Household goods and services]],All_India_Index_Upto_April23_CPI_data[[#This Row],[Housing]])</f>
        <v>121.45</v>
      </c>
      <c r="AG97" s="2">
        <f>AVERAGE(All_India_Index_Upto_April23_CPI_data[[#This Row],[Personal care and effects]],All_India_Index_Upto_April23_CPI_data[[#This Row],[Health]])</f>
        <v>115.85</v>
      </c>
      <c r="AH97" s="2">
        <f>AVERAGE(All_India_Index_Upto_April23_CPI_data[[#This Row],[Clothing]:[Clothing and footwear]])</f>
        <v>125.56666666666668</v>
      </c>
      <c r="AI97" s="2">
        <v>124.8</v>
      </c>
      <c r="AJ97" s="1">
        <f>(All_India_Index_Upto_April23_CPI_data[[#This Row],[General index]]-AI94)/AI94</f>
        <v>9.7087378640776933E-3</v>
      </c>
    </row>
    <row r="98" spans="1:36" x14ac:dyDescent="0.25">
      <c r="A98" t="s">
        <v>30</v>
      </c>
      <c r="B98">
        <v>2015</v>
      </c>
      <c r="C98" t="s">
        <v>41</v>
      </c>
      <c r="D98" s="2">
        <v>125.1</v>
      </c>
      <c r="E98" s="2">
        <v>131.1</v>
      </c>
      <c r="F98" s="2">
        <v>120.7</v>
      </c>
      <c r="G98" s="2">
        <v>129.19999999999999</v>
      </c>
      <c r="H98" s="2">
        <v>114.7</v>
      </c>
      <c r="I98" s="2">
        <v>132.30000000000001</v>
      </c>
      <c r="J98" s="2">
        <v>158.9</v>
      </c>
      <c r="K98" s="2">
        <v>142.1</v>
      </c>
      <c r="L98" s="2">
        <v>92.5</v>
      </c>
      <c r="M98" s="2">
        <v>125.4</v>
      </c>
      <c r="N98" s="2">
        <v>121.9</v>
      </c>
      <c r="O98" s="2">
        <v>132.69999999999999</v>
      </c>
      <c r="P98" s="2">
        <v>131</v>
      </c>
      <c r="Q98" s="2">
        <v>131</v>
      </c>
      <c r="R98" s="2">
        <v>130.4</v>
      </c>
      <c r="S98" s="2">
        <v>126.8</v>
      </c>
      <c r="T98" s="2">
        <v>129.9</v>
      </c>
      <c r="U98" s="2">
        <v>0</v>
      </c>
      <c r="V98" s="2">
        <v>123.7</v>
      </c>
      <c r="W98" s="2">
        <v>124.5</v>
      </c>
      <c r="X98" s="2">
        <v>121.4</v>
      </c>
      <c r="Y98" s="2">
        <v>113.8</v>
      </c>
      <c r="Z98" s="2">
        <v>119.6</v>
      </c>
      <c r="AA98" s="2">
        <v>124.5</v>
      </c>
      <c r="AB98" s="2">
        <v>113.7</v>
      </c>
      <c r="AC98" s="2">
        <v>118.8</v>
      </c>
      <c r="AD98" s="2">
        <f>AVERAGE(All_India_Index_Upto_April23_CPI_data[[#This Row],[Cereals and products]:[Food and beverages]])</f>
        <v>127.50769230769232</v>
      </c>
      <c r="AE98" s="2">
        <f>AVERAGE(All_India_Index_Upto_April23_CPI_data[[#This Row],[Recreation and amusement]],All_India_Index_Upto_April23_CPI_data[[#This Row],[Pan, tobacco and intoxicants]])</f>
        <v>125.3</v>
      </c>
      <c r="AF98" s="2">
        <f>AVERAGE(All_India_Index_Upto_April23_CPI_data[[#This Row],[Household goods and services]],All_India_Index_Upto_April23_CPI_data[[#This Row],[Housing]])</f>
        <v>62.25</v>
      </c>
      <c r="AG98" s="2">
        <f>AVERAGE(All_India_Index_Upto_April23_CPI_data[[#This Row],[Personal care and effects]],All_India_Index_Upto_April23_CPI_data[[#This Row],[Health]])</f>
        <v>117.55000000000001</v>
      </c>
      <c r="AH98" s="2">
        <f>AVERAGE(All_India_Index_Upto_April23_CPI_data[[#This Row],[Clothing]:[Clothing and footwear]])</f>
        <v>129.03333333333333</v>
      </c>
      <c r="AI98" s="2">
        <v>127</v>
      </c>
      <c r="AJ98" s="1">
        <f>(All_India_Index_Upto_April23_CPI_data[[#This Row],[General index]]-AI95)/AI95</f>
        <v>7.1371927042030592E-3</v>
      </c>
    </row>
    <row r="99" spans="1:36" x14ac:dyDescent="0.25">
      <c r="A99" t="s">
        <v>32</v>
      </c>
      <c r="B99">
        <v>2015</v>
      </c>
      <c r="C99" t="s">
        <v>41</v>
      </c>
      <c r="D99" s="2">
        <v>123.4</v>
      </c>
      <c r="E99" s="2">
        <v>129</v>
      </c>
      <c r="F99" s="2">
        <v>115.6</v>
      </c>
      <c r="G99" s="2">
        <v>128.30000000000001</v>
      </c>
      <c r="H99" s="2">
        <v>107</v>
      </c>
      <c r="I99" s="2">
        <v>124</v>
      </c>
      <c r="J99" s="2">
        <v>168.5</v>
      </c>
      <c r="K99" s="2">
        <v>165.4</v>
      </c>
      <c r="L99" s="2">
        <v>86.3</v>
      </c>
      <c r="M99" s="2">
        <v>134.4</v>
      </c>
      <c r="N99" s="2">
        <v>119.1</v>
      </c>
      <c r="O99" s="2">
        <v>132.30000000000001</v>
      </c>
      <c r="P99" s="2">
        <v>131.5</v>
      </c>
      <c r="Q99" s="2">
        <v>134.69999999999999</v>
      </c>
      <c r="R99" s="2">
        <v>124</v>
      </c>
      <c r="S99" s="2">
        <v>118.6</v>
      </c>
      <c r="T99" s="2">
        <v>123.2</v>
      </c>
      <c r="U99" s="2">
        <v>121.6</v>
      </c>
      <c r="V99" s="2">
        <v>115.1</v>
      </c>
      <c r="W99" s="2">
        <v>120.4</v>
      </c>
      <c r="X99" s="2">
        <v>117.1</v>
      </c>
      <c r="Y99" s="2">
        <v>109.1</v>
      </c>
      <c r="Z99" s="2">
        <v>117.3</v>
      </c>
      <c r="AA99" s="2">
        <v>126.5</v>
      </c>
      <c r="AB99" s="2">
        <v>112.9</v>
      </c>
      <c r="AC99" s="2">
        <v>116.2</v>
      </c>
      <c r="AD99" s="2">
        <f>AVERAGE(All_India_Index_Upto_April23_CPI_data[[#This Row],[Cereals and products]:[Food and beverages]])</f>
        <v>128.06153846153845</v>
      </c>
      <c r="AE99" s="2">
        <f>AVERAGE(All_India_Index_Upto_April23_CPI_data[[#This Row],[Recreation and amusement]],All_India_Index_Upto_April23_CPI_data[[#This Row],[Pan, tobacco and intoxicants]])</f>
        <v>126</v>
      </c>
      <c r="AF99" s="2">
        <f>AVERAGE(All_India_Index_Upto_April23_CPI_data[[#This Row],[Household goods and services]],All_India_Index_Upto_April23_CPI_data[[#This Row],[Housing]])</f>
        <v>121</v>
      </c>
      <c r="AG99" s="2">
        <f>AVERAGE(All_India_Index_Upto_April23_CPI_data[[#This Row],[Personal care and effects]],All_India_Index_Upto_April23_CPI_data[[#This Row],[Health]])</f>
        <v>115</v>
      </c>
      <c r="AH99" s="2">
        <f>AVERAGE(All_India_Index_Upto_April23_CPI_data[[#This Row],[Clothing]:[Clothing and footwear]])</f>
        <v>121.93333333333334</v>
      </c>
      <c r="AI99" s="2">
        <v>123.5</v>
      </c>
      <c r="AJ99" s="1">
        <f>(All_India_Index_Upto_April23_CPI_data[[#This Row],[General index]]-AI96)/AI96</f>
        <v>2.435064935064912E-3</v>
      </c>
    </row>
    <row r="100" spans="1:36" x14ac:dyDescent="0.25">
      <c r="A100" t="s">
        <v>33</v>
      </c>
      <c r="B100">
        <v>2015</v>
      </c>
      <c r="C100" t="s">
        <v>41</v>
      </c>
      <c r="D100" s="2">
        <v>124.6</v>
      </c>
      <c r="E100" s="2">
        <v>130.4</v>
      </c>
      <c r="F100" s="2">
        <v>118.7</v>
      </c>
      <c r="G100" s="2">
        <v>128.9</v>
      </c>
      <c r="H100" s="2">
        <v>111.9</v>
      </c>
      <c r="I100" s="2">
        <v>128.4</v>
      </c>
      <c r="J100" s="2">
        <v>162.19999999999999</v>
      </c>
      <c r="K100" s="2">
        <v>150</v>
      </c>
      <c r="L100" s="2">
        <v>90.4</v>
      </c>
      <c r="M100" s="2">
        <v>128.4</v>
      </c>
      <c r="N100" s="2">
        <v>120.7</v>
      </c>
      <c r="O100" s="2">
        <v>132.5</v>
      </c>
      <c r="P100" s="2">
        <v>131.19999999999999</v>
      </c>
      <c r="Q100" s="2">
        <v>132</v>
      </c>
      <c r="R100" s="2">
        <v>127.9</v>
      </c>
      <c r="S100" s="2">
        <v>123.4</v>
      </c>
      <c r="T100" s="2">
        <v>127.2</v>
      </c>
      <c r="U100" s="2">
        <v>121.6</v>
      </c>
      <c r="V100" s="2">
        <v>120.4</v>
      </c>
      <c r="W100" s="2">
        <v>122.6</v>
      </c>
      <c r="X100" s="2">
        <v>119.8</v>
      </c>
      <c r="Y100" s="2">
        <v>111.3</v>
      </c>
      <c r="Z100" s="2">
        <v>118.3</v>
      </c>
      <c r="AA100" s="2">
        <v>125.7</v>
      </c>
      <c r="AB100" s="2">
        <v>113.4</v>
      </c>
      <c r="AC100" s="2">
        <v>117.5</v>
      </c>
      <c r="AD100" s="2">
        <f>AVERAGE(All_India_Index_Upto_April23_CPI_data[[#This Row],[Cereals and products]:[Food and beverages]])</f>
        <v>127.56153846153848</v>
      </c>
      <c r="AE100" s="2">
        <f>AVERAGE(All_India_Index_Upto_April23_CPI_data[[#This Row],[Recreation and amusement]],All_India_Index_Upto_April23_CPI_data[[#This Row],[Pan, tobacco and intoxicants]])</f>
        <v>125.15</v>
      </c>
      <c r="AF100" s="2">
        <f>AVERAGE(All_India_Index_Upto_April23_CPI_data[[#This Row],[Household goods and services]],All_India_Index_Upto_April23_CPI_data[[#This Row],[Housing]])</f>
        <v>122.1</v>
      </c>
      <c r="AG100" s="2">
        <f>AVERAGE(All_India_Index_Upto_April23_CPI_data[[#This Row],[Personal care and effects]],All_India_Index_Upto_April23_CPI_data[[#This Row],[Health]])</f>
        <v>116.6</v>
      </c>
      <c r="AH100" s="2">
        <f>AVERAGE(All_India_Index_Upto_April23_CPI_data[[#This Row],[Clothing]:[Clothing and footwear]])</f>
        <v>126.16666666666667</v>
      </c>
      <c r="AI100" s="2">
        <v>125.4</v>
      </c>
      <c r="AJ100" s="1">
        <f>(All_India_Index_Upto_April23_CPI_data[[#This Row],[General index]]-AI97)/AI97</f>
        <v>4.8076923076923765E-3</v>
      </c>
    </row>
    <row r="101" spans="1:36" x14ac:dyDescent="0.25">
      <c r="A101" t="s">
        <v>30</v>
      </c>
      <c r="B101">
        <v>2015</v>
      </c>
      <c r="C101" t="s">
        <v>42</v>
      </c>
      <c r="D101" s="2">
        <v>125.6</v>
      </c>
      <c r="E101" s="2">
        <v>130.4</v>
      </c>
      <c r="F101" s="2">
        <v>120.8</v>
      </c>
      <c r="G101" s="2">
        <v>129.4</v>
      </c>
      <c r="H101" s="2">
        <v>115.8</v>
      </c>
      <c r="I101" s="2">
        <v>133.19999999999999</v>
      </c>
      <c r="J101" s="2">
        <v>157.69999999999999</v>
      </c>
      <c r="K101" s="2">
        <v>154.19999999999999</v>
      </c>
      <c r="L101" s="2">
        <v>93.7</v>
      </c>
      <c r="M101" s="2">
        <v>126.6</v>
      </c>
      <c r="N101" s="2">
        <v>122.3</v>
      </c>
      <c r="O101" s="2">
        <v>133.1</v>
      </c>
      <c r="P101" s="2">
        <v>131.80000000000001</v>
      </c>
      <c r="Q101" s="2">
        <v>131.5</v>
      </c>
      <c r="R101" s="2">
        <v>131.1</v>
      </c>
      <c r="S101" s="2">
        <v>127.3</v>
      </c>
      <c r="T101" s="2">
        <v>130.6</v>
      </c>
      <c r="U101" s="2">
        <v>0</v>
      </c>
      <c r="V101" s="2">
        <v>124.4</v>
      </c>
      <c r="W101" s="2">
        <v>125.1</v>
      </c>
      <c r="X101" s="2">
        <v>122</v>
      </c>
      <c r="Y101" s="2">
        <v>113.8</v>
      </c>
      <c r="Z101" s="2">
        <v>120.1</v>
      </c>
      <c r="AA101" s="2">
        <v>125.1</v>
      </c>
      <c r="AB101" s="2">
        <v>114.2</v>
      </c>
      <c r="AC101" s="2">
        <v>119.2</v>
      </c>
      <c r="AD101" s="2">
        <f>AVERAGE(All_India_Index_Upto_April23_CPI_data[[#This Row],[Cereals and products]:[Food and beverages]])</f>
        <v>128.8153846153846</v>
      </c>
      <c r="AE101" s="2">
        <f>AVERAGE(All_India_Index_Upto_April23_CPI_data[[#This Row],[Recreation and amusement]],All_India_Index_Upto_April23_CPI_data[[#This Row],[Pan, tobacco and intoxicants]])</f>
        <v>125.8</v>
      </c>
      <c r="AF101" s="2">
        <f>AVERAGE(All_India_Index_Upto_April23_CPI_data[[#This Row],[Household goods and services]],All_India_Index_Upto_April23_CPI_data[[#This Row],[Housing]])</f>
        <v>62.55</v>
      </c>
      <c r="AG101" s="2">
        <f>AVERAGE(All_India_Index_Upto_April23_CPI_data[[#This Row],[Personal care and effects]],All_India_Index_Upto_April23_CPI_data[[#This Row],[Health]])</f>
        <v>118.1</v>
      </c>
      <c r="AH101" s="2">
        <f>AVERAGE(All_India_Index_Upto_April23_CPI_data[[#This Row],[Clothing]:[Clothing and footwear]])</f>
        <v>129.66666666666666</v>
      </c>
      <c r="AI101" s="2">
        <v>127.7</v>
      </c>
      <c r="AJ101" s="1">
        <f>(All_India_Index_Upto_April23_CPI_data[[#This Row],[General index]]-AI98)/AI98</f>
        <v>5.5118110236220697E-3</v>
      </c>
    </row>
    <row r="102" spans="1:36" x14ac:dyDescent="0.25">
      <c r="A102" t="s">
        <v>32</v>
      </c>
      <c r="B102">
        <v>2015</v>
      </c>
      <c r="C102" t="s">
        <v>42</v>
      </c>
      <c r="D102" s="2">
        <v>123.6</v>
      </c>
      <c r="E102" s="2">
        <v>128.6</v>
      </c>
      <c r="F102" s="2">
        <v>115.9</v>
      </c>
      <c r="G102" s="2">
        <v>128.5</v>
      </c>
      <c r="H102" s="2">
        <v>109</v>
      </c>
      <c r="I102" s="2">
        <v>124.1</v>
      </c>
      <c r="J102" s="2">
        <v>165.8</v>
      </c>
      <c r="K102" s="2">
        <v>187.2</v>
      </c>
      <c r="L102" s="2">
        <v>89.4</v>
      </c>
      <c r="M102" s="2">
        <v>135.80000000000001</v>
      </c>
      <c r="N102" s="2">
        <v>119.4</v>
      </c>
      <c r="O102" s="2">
        <v>132.9</v>
      </c>
      <c r="P102" s="2">
        <v>132.6</v>
      </c>
      <c r="Q102" s="2">
        <v>135.30000000000001</v>
      </c>
      <c r="R102" s="2">
        <v>124.4</v>
      </c>
      <c r="S102" s="2">
        <v>118.8</v>
      </c>
      <c r="T102" s="2">
        <v>123.6</v>
      </c>
      <c r="U102" s="2">
        <v>122.4</v>
      </c>
      <c r="V102" s="2">
        <v>114.9</v>
      </c>
      <c r="W102" s="2">
        <v>120.7</v>
      </c>
      <c r="X102" s="2">
        <v>117.7</v>
      </c>
      <c r="Y102" s="2">
        <v>109.3</v>
      </c>
      <c r="Z102" s="2">
        <v>117.7</v>
      </c>
      <c r="AA102" s="2">
        <v>126.5</v>
      </c>
      <c r="AB102" s="2">
        <v>113.5</v>
      </c>
      <c r="AC102" s="2">
        <v>116.5</v>
      </c>
      <c r="AD102" s="2">
        <f>AVERAGE(All_India_Index_Upto_April23_CPI_data[[#This Row],[Cereals and products]:[Food and beverages]])</f>
        <v>130.21538461538464</v>
      </c>
      <c r="AE102" s="2">
        <f>AVERAGE(All_India_Index_Upto_April23_CPI_data[[#This Row],[Recreation and amusement]],All_India_Index_Upto_April23_CPI_data[[#This Row],[Pan, tobacco and intoxicants]])</f>
        <v>126.5</v>
      </c>
      <c r="AF102" s="2">
        <f>AVERAGE(All_India_Index_Upto_April23_CPI_data[[#This Row],[Household goods and services]],All_India_Index_Upto_April23_CPI_data[[#This Row],[Housing]])</f>
        <v>121.55000000000001</v>
      </c>
      <c r="AG102" s="2">
        <f>AVERAGE(All_India_Index_Upto_April23_CPI_data[[#This Row],[Personal care and effects]],All_India_Index_Upto_April23_CPI_data[[#This Row],[Health]])</f>
        <v>115.6</v>
      </c>
      <c r="AH102" s="2">
        <f>AVERAGE(All_India_Index_Upto_April23_CPI_data[[#This Row],[Clothing]:[Clothing and footwear]])</f>
        <v>122.26666666666665</v>
      </c>
      <c r="AI102" s="2">
        <v>124.2</v>
      </c>
      <c r="AJ102" s="1">
        <f>(All_India_Index_Upto_April23_CPI_data[[#This Row],[General index]]-AI99)/AI99</f>
        <v>5.6680161943320068E-3</v>
      </c>
    </row>
    <row r="103" spans="1:36" x14ac:dyDescent="0.25">
      <c r="A103" t="s">
        <v>33</v>
      </c>
      <c r="B103">
        <v>2015</v>
      </c>
      <c r="C103" t="s">
        <v>42</v>
      </c>
      <c r="D103" s="2">
        <v>125</v>
      </c>
      <c r="E103" s="2">
        <v>129.80000000000001</v>
      </c>
      <c r="F103" s="2">
        <v>118.9</v>
      </c>
      <c r="G103" s="2">
        <v>129.1</v>
      </c>
      <c r="H103" s="2">
        <v>113.3</v>
      </c>
      <c r="I103" s="2">
        <v>129</v>
      </c>
      <c r="J103" s="2">
        <v>160.4</v>
      </c>
      <c r="K103" s="2">
        <v>165.3</v>
      </c>
      <c r="L103" s="2">
        <v>92.3</v>
      </c>
      <c r="M103" s="2">
        <v>129.69999999999999</v>
      </c>
      <c r="N103" s="2">
        <v>121.1</v>
      </c>
      <c r="O103" s="2">
        <v>133</v>
      </c>
      <c r="P103" s="2">
        <v>132.1</v>
      </c>
      <c r="Q103" s="2">
        <v>132.5</v>
      </c>
      <c r="R103" s="2">
        <v>128.5</v>
      </c>
      <c r="S103" s="2">
        <v>123.8</v>
      </c>
      <c r="T103" s="2">
        <v>127.8</v>
      </c>
      <c r="U103" s="2">
        <v>122.4</v>
      </c>
      <c r="V103" s="2">
        <v>120.8</v>
      </c>
      <c r="W103" s="2">
        <v>123</v>
      </c>
      <c r="X103" s="2">
        <v>120.4</v>
      </c>
      <c r="Y103" s="2">
        <v>111.4</v>
      </c>
      <c r="Z103" s="2">
        <v>118.7</v>
      </c>
      <c r="AA103" s="2">
        <v>125.9</v>
      </c>
      <c r="AB103" s="2">
        <v>113.9</v>
      </c>
      <c r="AC103" s="2">
        <v>117.9</v>
      </c>
      <c r="AD103" s="2">
        <f>AVERAGE(All_India_Index_Upto_April23_CPI_data[[#This Row],[Cereals and products]:[Food and beverages]])</f>
        <v>129.15384615384613</v>
      </c>
      <c r="AE103" s="2">
        <f>AVERAGE(All_India_Index_Upto_April23_CPI_data[[#This Row],[Recreation and amusement]],All_India_Index_Upto_April23_CPI_data[[#This Row],[Pan, tobacco and intoxicants]])</f>
        <v>125.6</v>
      </c>
      <c r="AF103" s="2">
        <f>AVERAGE(All_India_Index_Upto_April23_CPI_data[[#This Row],[Household goods and services]],All_India_Index_Upto_April23_CPI_data[[#This Row],[Housing]])</f>
        <v>122.7</v>
      </c>
      <c r="AG103" s="2">
        <f>AVERAGE(All_India_Index_Upto_April23_CPI_data[[#This Row],[Personal care and effects]],All_India_Index_Upto_April23_CPI_data[[#This Row],[Health]])</f>
        <v>117.15</v>
      </c>
      <c r="AH103" s="2">
        <f>AVERAGE(All_India_Index_Upto_April23_CPI_data[[#This Row],[Clothing]:[Clothing and footwear]])</f>
        <v>126.7</v>
      </c>
      <c r="AI103" s="2">
        <v>126.1</v>
      </c>
      <c r="AJ103" s="1">
        <f>(All_India_Index_Upto_April23_CPI_data[[#This Row],[General index]]-AI100)/AI100</f>
        <v>5.5821371610844384E-3</v>
      </c>
    </row>
    <row r="104" spans="1:36" x14ac:dyDescent="0.25">
      <c r="A104" t="s">
        <v>30</v>
      </c>
      <c r="B104">
        <v>2015</v>
      </c>
      <c r="C104" t="s">
        <v>43</v>
      </c>
      <c r="D104" s="2">
        <v>126.1</v>
      </c>
      <c r="E104" s="2">
        <v>130.6</v>
      </c>
      <c r="F104" s="2">
        <v>121.7</v>
      </c>
      <c r="G104" s="2">
        <v>129.5</v>
      </c>
      <c r="H104" s="2">
        <v>117.8</v>
      </c>
      <c r="I104" s="2">
        <v>132.1</v>
      </c>
      <c r="J104" s="2">
        <v>155.19999999999999</v>
      </c>
      <c r="K104" s="2">
        <v>160.80000000000001</v>
      </c>
      <c r="L104" s="2">
        <v>94.5</v>
      </c>
      <c r="M104" s="2">
        <v>128.30000000000001</v>
      </c>
      <c r="N104" s="2">
        <v>123.1</v>
      </c>
      <c r="O104" s="2">
        <v>134.19999999999999</v>
      </c>
      <c r="P104" s="2">
        <v>132.4</v>
      </c>
      <c r="Q104" s="2">
        <v>132.19999999999999</v>
      </c>
      <c r="R104" s="2">
        <v>132.1</v>
      </c>
      <c r="S104" s="2">
        <v>128.19999999999999</v>
      </c>
      <c r="T104" s="2">
        <v>131.5</v>
      </c>
      <c r="U104" s="2">
        <v>0</v>
      </c>
      <c r="V104" s="2">
        <v>125.6</v>
      </c>
      <c r="W104" s="2">
        <v>125.6</v>
      </c>
      <c r="X104" s="2">
        <v>122.6</v>
      </c>
      <c r="Y104" s="2">
        <v>114</v>
      </c>
      <c r="Z104" s="2">
        <v>120.9</v>
      </c>
      <c r="AA104" s="2">
        <v>125.8</v>
      </c>
      <c r="AB104" s="2">
        <v>114.2</v>
      </c>
      <c r="AC104" s="2">
        <v>119.6</v>
      </c>
      <c r="AD104" s="2">
        <f>AVERAGE(All_India_Index_Upto_April23_CPI_data[[#This Row],[Cereals and products]:[Food and beverages]])</f>
        <v>129.71538461538461</v>
      </c>
      <c r="AE104" s="2">
        <f>AVERAGE(All_India_Index_Upto_April23_CPI_data[[#This Row],[Recreation and amusement]],All_India_Index_Upto_April23_CPI_data[[#This Row],[Pan, tobacco and intoxicants]])</f>
        <v>126.55</v>
      </c>
      <c r="AF104" s="2">
        <f>AVERAGE(All_India_Index_Upto_April23_CPI_data[[#This Row],[Household goods and services]],All_India_Index_Upto_April23_CPI_data[[#This Row],[Housing]])</f>
        <v>62.8</v>
      </c>
      <c r="AG104" s="2">
        <f>AVERAGE(All_India_Index_Upto_April23_CPI_data[[#This Row],[Personal care and effects]],All_India_Index_Upto_April23_CPI_data[[#This Row],[Health]])</f>
        <v>118.4</v>
      </c>
      <c r="AH104" s="2">
        <f>AVERAGE(All_India_Index_Upto_April23_CPI_data[[#This Row],[Clothing]:[Clothing and footwear]])</f>
        <v>130.6</v>
      </c>
      <c r="AI104" s="2">
        <v>128.30000000000001</v>
      </c>
      <c r="AJ104" s="1">
        <f>(All_India_Index_Upto_April23_CPI_data[[#This Row],[General index]]-AI101)/AI101</f>
        <v>4.6985121378230891E-3</v>
      </c>
    </row>
    <row r="105" spans="1:36" x14ac:dyDescent="0.25">
      <c r="A105" t="s">
        <v>32</v>
      </c>
      <c r="B105">
        <v>2015</v>
      </c>
      <c r="C105" t="s">
        <v>43</v>
      </c>
      <c r="D105" s="2">
        <v>124</v>
      </c>
      <c r="E105" s="2">
        <v>129.80000000000001</v>
      </c>
      <c r="F105" s="2">
        <v>121.5</v>
      </c>
      <c r="G105" s="2">
        <v>128.6</v>
      </c>
      <c r="H105" s="2">
        <v>110</v>
      </c>
      <c r="I105" s="2">
        <v>123.7</v>
      </c>
      <c r="J105" s="2">
        <v>164.6</v>
      </c>
      <c r="K105" s="2">
        <v>191.6</v>
      </c>
      <c r="L105" s="2">
        <v>90.8</v>
      </c>
      <c r="M105" s="2">
        <v>137.1</v>
      </c>
      <c r="N105" s="2">
        <v>119.8</v>
      </c>
      <c r="O105" s="2">
        <v>133.69999999999999</v>
      </c>
      <c r="P105" s="2">
        <v>133.30000000000001</v>
      </c>
      <c r="Q105" s="2">
        <v>137.6</v>
      </c>
      <c r="R105" s="2">
        <v>125</v>
      </c>
      <c r="S105" s="2">
        <v>119.3</v>
      </c>
      <c r="T105" s="2">
        <v>124.2</v>
      </c>
      <c r="U105" s="2">
        <v>122.9</v>
      </c>
      <c r="V105" s="2">
        <v>115.1</v>
      </c>
      <c r="W105" s="2">
        <v>121</v>
      </c>
      <c r="X105" s="2">
        <v>118.1</v>
      </c>
      <c r="Y105" s="2">
        <v>109.3</v>
      </c>
      <c r="Z105" s="2">
        <v>117.9</v>
      </c>
      <c r="AA105" s="2">
        <v>126.6</v>
      </c>
      <c r="AB105" s="2">
        <v>113.3</v>
      </c>
      <c r="AC105" s="2">
        <v>116.6</v>
      </c>
      <c r="AD105" s="2">
        <f>AVERAGE(All_India_Index_Upto_April23_CPI_data[[#This Row],[Cereals and products]:[Food and beverages]])</f>
        <v>131.42307692307691</v>
      </c>
      <c r="AE105" s="2">
        <f>AVERAGE(All_India_Index_Upto_April23_CPI_data[[#This Row],[Recreation and amusement]],All_India_Index_Upto_April23_CPI_data[[#This Row],[Pan, tobacco and intoxicants]])</f>
        <v>127.75</v>
      </c>
      <c r="AF105" s="2">
        <f>AVERAGE(All_India_Index_Upto_April23_CPI_data[[#This Row],[Household goods and services]],All_India_Index_Upto_April23_CPI_data[[#This Row],[Housing]])</f>
        <v>121.95</v>
      </c>
      <c r="AG105" s="2">
        <f>AVERAGE(All_India_Index_Upto_April23_CPI_data[[#This Row],[Personal care and effects]],All_India_Index_Upto_April23_CPI_data[[#This Row],[Health]])</f>
        <v>115.69999999999999</v>
      </c>
      <c r="AH105" s="2">
        <f>AVERAGE(All_India_Index_Upto_April23_CPI_data[[#This Row],[Clothing]:[Clothing and footwear]])</f>
        <v>122.83333333333333</v>
      </c>
      <c r="AI105" s="2">
        <v>124.6</v>
      </c>
      <c r="AJ105" s="1">
        <f>(All_India_Index_Upto_April23_CPI_data[[#This Row],[General index]]-AI102)/AI102</f>
        <v>3.2206119162640216E-3</v>
      </c>
    </row>
    <row r="106" spans="1:36" x14ac:dyDescent="0.25">
      <c r="A106" t="s">
        <v>33</v>
      </c>
      <c r="B106">
        <v>2015</v>
      </c>
      <c r="C106" t="s">
        <v>43</v>
      </c>
      <c r="D106" s="2">
        <v>125.4</v>
      </c>
      <c r="E106" s="2">
        <v>130.30000000000001</v>
      </c>
      <c r="F106" s="2">
        <v>121.6</v>
      </c>
      <c r="G106" s="2">
        <v>129.19999999999999</v>
      </c>
      <c r="H106" s="2">
        <v>114.9</v>
      </c>
      <c r="I106" s="2">
        <v>128.19999999999999</v>
      </c>
      <c r="J106" s="2">
        <v>158.4</v>
      </c>
      <c r="K106" s="2">
        <v>171.2</v>
      </c>
      <c r="L106" s="2">
        <v>93.3</v>
      </c>
      <c r="M106" s="2">
        <v>131.19999999999999</v>
      </c>
      <c r="N106" s="2">
        <v>121.7</v>
      </c>
      <c r="O106" s="2">
        <v>134</v>
      </c>
      <c r="P106" s="2">
        <v>132.69999999999999</v>
      </c>
      <c r="Q106" s="2">
        <v>133.6</v>
      </c>
      <c r="R106" s="2">
        <v>129.30000000000001</v>
      </c>
      <c r="S106" s="2">
        <v>124.5</v>
      </c>
      <c r="T106" s="2">
        <v>128.6</v>
      </c>
      <c r="U106" s="2">
        <v>122.9</v>
      </c>
      <c r="V106" s="2">
        <v>121.6</v>
      </c>
      <c r="W106" s="2">
        <v>123.4</v>
      </c>
      <c r="X106" s="2">
        <v>120.9</v>
      </c>
      <c r="Y106" s="2">
        <v>111.5</v>
      </c>
      <c r="Z106" s="2">
        <v>119.2</v>
      </c>
      <c r="AA106" s="2">
        <v>126.3</v>
      </c>
      <c r="AB106" s="2">
        <v>113.8</v>
      </c>
      <c r="AC106" s="2">
        <v>118.1</v>
      </c>
      <c r="AD106" s="2">
        <f>AVERAGE(All_India_Index_Upto_April23_CPI_data[[#This Row],[Cereals and products]:[Food and beverages]])</f>
        <v>130.16153846153844</v>
      </c>
      <c r="AE106" s="2">
        <f>AVERAGE(All_India_Index_Upto_April23_CPI_data[[#This Row],[Recreation and amusement]],All_India_Index_Upto_April23_CPI_data[[#This Row],[Pan, tobacco and intoxicants]])</f>
        <v>126.4</v>
      </c>
      <c r="AF106" s="2">
        <f>AVERAGE(All_India_Index_Upto_April23_CPI_data[[#This Row],[Household goods and services]],All_India_Index_Upto_April23_CPI_data[[#This Row],[Housing]])</f>
        <v>123.15</v>
      </c>
      <c r="AG106" s="2">
        <f>AVERAGE(All_India_Index_Upto_April23_CPI_data[[#This Row],[Personal care and effects]],All_India_Index_Upto_April23_CPI_data[[#This Row],[Health]])</f>
        <v>117.35</v>
      </c>
      <c r="AH106" s="2">
        <f>AVERAGE(All_India_Index_Upto_April23_CPI_data[[#This Row],[Clothing]:[Clothing and footwear]])</f>
        <v>127.46666666666665</v>
      </c>
      <c r="AI106" s="2">
        <v>126.6</v>
      </c>
      <c r="AJ106" s="1">
        <f>(All_India_Index_Upto_April23_CPI_data[[#This Row],[General index]]-AI103)/AI103</f>
        <v>3.9651070578905628E-3</v>
      </c>
    </row>
    <row r="107" spans="1:36" x14ac:dyDescent="0.25">
      <c r="A107" t="s">
        <v>30</v>
      </c>
      <c r="B107">
        <v>2015</v>
      </c>
      <c r="C107" t="s">
        <v>44</v>
      </c>
      <c r="D107" s="2">
        <v>126.3</v>
      </c>
      <c r="E107" s="2">
        <v>131.30000000000001</v>
      </c>
      <c r="F107" s="2">
        <v>123.3</v>
      </c>
      <c r="G107" s="2">
        <v>129.80000000000001</v>
      </c>
      <c r="H107" s="2">
        <v>118.3</v>
      </c>
      <c r="I107" s="2">
        <v>131.6</v>
      </c>
      <c r="J107" s="2">
        <v>145.5</v>
      </c>
      <c r="K107" s="2">
        <v>162.1</v>
      </c>
      <c r="L107" s="2">
        <v>95.4</v>
      </c>
      <c r="M107" s="2">
        <v>128.9</v>
      </c>
      <c r="N107" s="2">
        <v>123.3</v>
      </c>
      <c r="O107" s="2">
        <v>135.1</v>
      </c>
      <c r="P107" s="2">
        <v>131.4</v>
      </c>
      <c r="Q107" s="2">
        <v>133.1</v>
      </c>
      <c r="R107" s="2">
        <v>132.5</v>
      </c>
      <c r="S107" s="2">
        <v>128.5</v>
      </c>
      <c r="T107" s="2">
        <v>131.9</v>
      </c>
      <c r="U107" s="2">
        <v>0</v>
      </c>
      <c r="V107" s="2">
        <v>125.7</v>
      </c>
      <c r="W107" s="2">
        <v>126</v>
      </c>
      <c r="X107" s="2">
        <v>123.1</v>
      </c>
      <c r="Y107" s="2">
        <v>114</v>
      </c>
      <c r="Z107" s="2">
        <v>121.6</v>
      </c>
      <c r="AA107" s="2">
        <v>125.6</v>
      </c>
      <c r="AB107" s="2">
        <v>114.1</v>
      </c>
      <c r="AC107" s="2">
        <v>119.8</v>
      </c>
      <c r="AD107" s="2">
        <f>AVERAGE(All_India_Index_Upto_April23_CPI_data[[#This Row],[Cereals and products]:[Food and beverages]])</f>
        <v>129.40769230769232</v>
      </c>
      <c r="AE107" s="2">
        <f>AVERAGE(All_India_Index_Upto_April23_CPI_data[[#This Row],[Recreation and amusement]],All_India_Index_Upto_April23_CPI_data[[#This Row],[Pan, tobacco and intoxicants]])</f>
        <v>127.35</v>
      </c>
      <c r="AF107" s="2">
        <f>AVERAGE(All_India_Index_Upto_April23_CPI_data[[#This Row],[Household goods and services]],All_India_Index_Upto_April23_CPI_data[[#This Row],[Housing]])</f>
        <v>63</v>
      </c>
      <c r="AG107" s="2">
        <f>AVERAGE(All_India_Index_Upto_April23_CPI_data[[#This Row],[Personal care and effects]],All_India_Index_Upto_April23_CPI_data[[#This Row],[Health]])</f>
        <v>118.6</v>
      </c>
      <c r="AH107" s="2">
        <f>AVERAGE(All_India_Index_Upto_April23_CPI_data[[#This Row],[Clothing]:[Clothing and footwear]])</f>
        <v>130.96666666666667</v>
      </c>
      <c r="AI107" s="2">
        <v>127.9</v>
      </c>
      <c r="AJ107" s="1">
        <f>(All_India_Index_Upto_April23_CPI_data[[#This Row],[General index]]-AI104)/AI104</f>
        <v>-3.1176929072486799E-3</v>
      </c>
    </row>
    <row r="108" spans="1:36" x14ac:dyDescent="0.25">
      <c r="A108" t="s">
        <v>32</v>
      </c>
      <c r="B108">
        <v>2015</v>
      </c>
      <c r="C108" t="s">
        <v>44</v>
      </c>
      <c r="D108" s="2">
        <v>124.3</v>
      </c>
      <c r="E108" s="2">
        <v>131.69999999999999</v>
      </c>
      <c r="F108" s="2">
        <v>127.1</v>
      </c>
      <c r="G108" s="2">
        <v>128.6</v>
      </c>
      <c r="H108" s="2">
        <v>110</v>
      </c>
      <c r="I108" s="2">
        <v>120.8</v>
      </c>
      <c r="J108" s="2">
        <v>149</v>
      </c>
      <c r="K108" s="2">
        <v>190.1</v>
      </c>
      <c r="L108" s="2">
        <v>92.7</v>
      </c>
      <c r="M108" s="2">
        <v>138.6</v>
      </c>
      <c r="N108" s="2">
        <v>120.2</v>
      </c>
      <c r="O108" s="2">
        <v>134.19999999999999</v>
      </c>
      <c r="P108" s="2">
        <v>131.5</v>
      </c>
      <c r="Q108" s="2">
        <v>138.19999999999999</v>
      </c>
      <c r="R108" s="2">
        <v>125.4</v>
      </c>
      <c r="S108" s="2">
        <v>119.5</v>
      </c>
      <c r="T108" s="2">
        <v>124.5</v>
      </c>
      <c r="U108" s="2">
        <v>122.4</v>
      </c>
      <c r="V108" s="2">
        <v>116</v>
      </c>
      <c r="W108" s="2">
        <v>121</v>
      </c>
      <c r="X108" s="2">
        <v>118.6</v>
      </c>
      <c r="Y108" s="2">
        <v>109.3</v>
      </c>
      <c r="Z108" s="2">
        <v>118.1</v>
      </c>
      <c r="AA108" s="2">
        <v>126.6</v>
      </c>
      <c r="AB108" s="2">
        <v>113.2</v>
      </c>
      <c r="AC108" s="2">
        <v>116.7</v>
      </c>
      <c r="AD108" s="2">
        <f>AVERAGE(All_India_Index_Upto_April23_CPI_data[[#This Row],[Cereals and products]:[Food and beverages]])</f>
        <v>130.67692307692306</v>
      </c>
      <c r="AE108" s="2">
        <f>AVERAGE(All_India_Index_Upto_April23_CPI_data[[#This Row],[Recreation and amusement]],All_India_Index_Upto_April23_CPI_data[[#This Row],[Pan, tobacco and intoxicants]])</f>
        <v>128.14999999999998</v>
      </c>
      <c r="AF108" s="2">
        <f>AVERAGE(All_India_Index_Upto_April23_CPI_data[[#This Row],[Household goods and services]],All_India_Index_Upto_April23_CPI_data[[#This Row],[Housing]])</f>
        <v>121.7</v>
      </c>
      <c r="AG108" s="2">
        <f>AVERAGE(All_India_Index_Upto_April23_CPI_data[[#This Row],[Personal care and effects]],All_India_Index_Upto_April23_CPI_data[[#This Row],[Health]])</f>
        <v>115.9</v>
      </c>
      <c r="AH108" s="2">
        <f>AVERAGE(All_India_Index_Upto_April23_CPI_data[[#This Row],[Clothing]:[Clothing and footwear]])</f>
        <v>123.13333333333333</v>
      </c>
      <c r="AI108" s="2">
        <v>124</v>
      </c>
      <c r="AJ108" s="1">
        <f>(All_India_Index_Upto_April23_CPI_data[[#This Row],[General index]]-AI105)/AI105</f>
        <v>-4.8154093097912869E-3</v>
      </c>
    </row>
    <row r="109" spans="1:36" x14ac:dyDescent="0.25">
      <c r="A109" t="s">
        <v>33</v>
      </c>
      <c r="B109">
        <v>2015</v>
      </c>
      <c r="C109" t="s">
        <v>44</v>
      </c>
      <c r="D109" s="2">
        <v>125.7</v>
      </c>
      <c r="E109" s="2">
        <v>131.4</v>
      </c>
      <c r="F109" s="2">
        <v>124.8</v>
      </c>
      <c r="G109" s="2">
        <v>129.4</v>
      </c>
      <c r="H109" s="2">
        <v>115.3</v>
      </c>
      <c r="I109" s="2">
        <v>126.6</v>
      </c>
      <c r="J109" s="2">
        <v>146.69999999999999</v>
      </c>
      <c r="K109" s="2">
        <v>171.5</v>
      </c>
      <c r="L109" s="2">
        <v>94.5</v>
      </c>
      <c r="M109" s="2">
        <v>132.1</v>
      </c>
      <c r="N109" s="2">
        <v>122</v>
      </c>
      <c r="O109" s="2">
        <v>134.69999999999999</v>
      </c>
      <c r="P109" s="2">
        <v>131.4</v>
      </c>
      <c r="Q109" s="2">
        <v>134.5</v>
      </c>
      <c r="R109" s="2">
        <v>129.69999999999999</v>
      </c>
      <c r="S109" s="2">
        <v>124.8</v>
      </c>
      <c r="T109" s="2">
        <v>129</v>
      </c>
      <c r="U109" s="2">
        <v>122.4</v>
      </c>
      <c r="V109" s="2">
        <v>122</v>
      </c>
      <c r="W109" s="2">
        <v>123.6</v>
      </c>
      <c r="X109" s="2">
        <v>121.4</v>
      </c>
      <c r="Y109" s="2">
        <v>111.5</v>
      </c>
      <c r="Z109" s="2">
        <v>119.6</v>
      </c>
      <c r="AA109" s="2">
        <v>126.2</v>
      </c>
      <c r="AB109" s="2">
        <v>113.7</v>
      </c>
      <c r="AC109" s="2">
        <v>118.3</v>
      </c>
      <c r="AD109" s="2">
        <f>AVERAGE(All_India_Index_Upto_April23_CPI_data[[#This Row],[Cereals and products]:[Food and beverages]])</f>
        <v>129.70000000000002</v>
      </c>
      <c r="AE109" s="2">
        <f>AVERAGE(All_India_Index_Upto_April23_CPI_data[[#This Row],[Recreation and amusement]],All_India_Index_Upto_April23_CPI_data[[#This Row],[Pan, tobacco and intoxicants]])</f>
        <v>127.05</v>
      </c>
      <c r="AF109" s="2">
        <f>AVERAGE(All_India_Index_Upto_April23_CPI_data[[#This Row],[Household goods and services]],All_India_Index_Upto_April23_CPI_data[[#This Row],[Housing]])</f>
        <v>123</v>
      </c>
      <c r="AG109" s="2">
        <f>AVERAGE(All_India_Index_Upto_April23_CPI_data[[#This Row],[Personal care and effects]],All_India_Index_Upto_April23_CPI_data[[#This Row],[Health]])</f>
        <v>117.55000000000001</v>
      </c>
      <c r="AH109" s="2">
        <f>AVERAGE(All_India_Index_Upto_April23_CPI_data[[#This Row],[Clothing]:[Clothing and footwear]])</f>
        <v>127.83333333333333</v>
      </c>
      <c r="AI109" s="2">
        <v>126.1</v>
      </c>
      <c r="AJ109" s="1">
        <f>(All_India_Index_Upto_April23_CPI_data[[#This Row],[General index]]-AI106)/AI106</f>
        <v>-3.9494470774091633E-3</v>
      </c>
    </row>
    <row r="110" spans="1:36" x14ac:dyDescent="0.25">
      <c r="A110" t="s">
        <v>30</v>
      </c>
      <c r="B110">
        <v>2016</v>
      </c>
      <c r="C110" t="s">
        <v>31</v>
      </c>
      <c r="D110" s="2">
        <v>126.8</v>
      </c>
      <c r="E110" s="2">
        <v>133.19999999999999</v>
      </c>
      <c r="F110" s="2">
        <v>126.5</v>
      </c>
      <c r="G110" s="2">
        <v>130.30000000000001</v>
      </c>
      <c r="H110" s="2">
        <v>118.9</v>
      </c>
      <c r="I110" s="2">
        <v>131.6</v>
      </c>
      <c r="J110" s="2">
        <v>140.1</v>
      </c>
      <c r="K110" s="2">
        <v>163.80000000000001</v>
      </c>
      <c r="L110" s="2">
        <v>97.7</v>
      </c>
      <c r="M110" s="2">
        <v>129.6</v>
      </c>
      <c r="N110" s="2">
        <v>124.3</v>
      </c>
      <c r="O110" s="2">
        <v>135.9</v>
      </c>
      <c r="P110" s="2">
        <v>131.4</v>
      </c>
      <c r="Q110" s="2">
        <v>133.6</v>
      </c>
      <c r="R110" s="2">
        <v>133.19999999999999</v>
      </c>
      <c r="S110" s="2">
        <v>128.9</v>
      </c>
      <c r="T110" s="2">
        <v>132.6</v>
      </c>
      <c r="U110" s="2">
        <v>0</v>
      </c>
      <c r="V110" s="2">
        <v>126.2</v>
      </c>
      <c r="W110" s="2">
        <v>126.6</v>
      </c>
      <c r="X110" s="2">
        <v>123.7</v>
      </c>
      <c r="Y110" s="2">
        <v>113.6</v>
      </c>
      <c r="Z110" s="2">
        <v>121.4</v>
      </c>
      <c r="AA110" s="2">
        <v>126.2</v>
      </c>
      <c r="AB110" s="2">
        <v>114.9</v>
      </c>
      <c r="AC110" s="2">
        <v>120.1</v>
      </c>
      <c r="AD110" s="2">
        <f>AVERAGE(All_India_Index_Upto_April23_CPI_data[[#This Row],[Cereals and products]:[Food and beverages]])</f>
        <v>130.00769230769231</v>
      </c>
      <c r="AE110" s="2">
        <f>AVERAGE(All_India_Index_Upto_April23_CPI_data[[#This Row],[Recreation and amusement]],All_India_Index_Upto_April23_CPI_data[[#This Row],[Pan, tobacco and intoxicants]])</f>
        <v>127.5</v>
      </c>
      <c r="AF110" s="2">
        <f>AVERAGE(All_India_Index_Upto_April23_CPI_data[[#This Row],[Household goods and services]],All_India_Index_Upto_April23_CPI_data[[#This Row],[Housing]])</f>
        <v>63.3</v>
      </c>
      <c r="AG110" s="2">
        <f>AVERAGE(All_India_Index_Upto_April23_CPI_data[[#This Row],[Personal care and effects]],All_India_Index_Upto_April23_CPI_data[[#This Row],[Health]])</f>
        <v>119.30000000000001</v>
      </c>
      <c r="AH110" s="2">
        <f>AVERAGE(All_India_Index_Upto_April23_CPI_data[[#This Row],[Clothing]:[Clothing and footwear]])</f>
        <v>131.56666666666669</v>
      </c>
      <c r="AI110" s="2">
        <v>128.1</v>
      </c>
      <c r="AJ110" s="1">
        <f>(All_India_Index_Upto_April23_CPI_data[[#This Row],[General index]]-AI107)/AI107</f>
        <v>1.5637216575448681E-3</v>
      </c>
    </row>
    <row r="111" spans="1:36" x14ac:dyDescent="0.25">
      <c r="A111" t="s">
        <v>32</v>
      </c>
      <c r="B111">
        <v>2016</v>
      </c>
      <c r="C111" t="s">
        <v>31</v>
      </c>
      <c r="D111" s="2">
        <v>124.7</v>
      </c>
      <c r="E111" s="2">
        <v>135.9</v>
      </c>
      <c r="F111" s="2">
        <v>132</v>
      </c>
      <c r="G111" s="2">
        <v>129.19999999999999</v>
      </c>
      <c r="H111" s="2">
        <v>109.7</v>
      </c>
      <c r="I111" s="2">
        <v>119</v>
      </c>
      <c r="J111" s="2">
        <v>144.1</v>
      </c>
      <c r="K111" s="2">
        <v>184.2</v>
      </c>
      <c r="L111" s="2">
        <v>96.7</v>
      </c>
      <c r="M111" s="2">
        <v>139.5</v>
      </c>
      <c r="N111" s="2">
        <v>120.5</v>
      </c>
      <c r="O111" s="2">
        <v>134.69999999999999</v>
      </c>
      <c r="P111" s="2">
        <v>131.19999999999999</v>
      </c>
      <c r="Q111" s="2">
        <v>139.5</v>
      </c>
      <c r="R111" s="2">
        <v>125.8</v>
      </c>
      <c r="S111" s="2">
        <v>119.8</v>
      </c>
      <c r="T111" s="2">
        <v>124.9</v>
      </c>
      <c r="U111" s="2">
        <v>123.4</v>
      </c>
      <c r="V111" s="2">
        <v>116.9</v>
      </c>
      <c r="W111" s="2">
        <v>121.6</v>
      </c>
      <c r="X111" s="2">
        <v>119.1</v>
      </c>
      <c r="Y111" s="2">
        <v>108.9</v>
      </c>
      <c r="Z111" s="2">
        <v>118.5</v>
      </c>
      <c r="AA111" s="2">
        <v>126.4</v>
      </c>
      <c r="AB111" s="2">
        <v>114</v>
      </c>
      <c r="AC111" s="2">
        <v>116.8</v>
      </c>
      <c r="AD111" s="2">
        <f>AVERAGE(All_India_Index_Upto_April23_CPI_data[[#This Row],[Cereals and products]:[Food and beverages]])</f>
        <v>130.87692307692308</v>
      </c>
      <c r="AE111" s="2">
        <f>AVERAGE(All_India_Index_Upto_April23_CPI_data[[#This Row],[Recreation and amusement]],All_India_Index_Upto_April23_CPI_data[[#This Row],[Pan, tobacco and intoxicants]])</f>
        <v>129</v>
      </c>
      <c r="AF111" s="2">
        <f>AVERAGE(All_India_Index_Upto_April23_CPI_data[[#This Row],[Household goods and services]],All_India_Index_Upto_April23_CPI_data[[#This Row],[Housing]])</f>
        <v>122.5</v>
      </c>
      <c r="AG111" s="2">
        <f>AVERAGE(All_India_Index_Upto_April23_CPI_data[[#This Row],[Personal care and effects]],All_India_Index_Upto_April23_CPI_data[[#This Row],[Health]])</f>
        <v>116.55</v>
      </c>
      <c r="AH111" s="2">
        <f>AVERAGE(All_India_Index_Upto_April23_CPI_data[[#This Row],[Clothing]:[Clothing and footwear]])</f>
        <v>123.5</v>
      </c>
      <c r="AI111" s="2">
        <v>124.2</v>
      </c>
      <c r="AJ111" s="1">
        <f>(All_India_Index_Upto_April23_CPI_data[[#This Row],[General index]]-AI108)/AI108</f>
        <v>1.6129032258064746E-3</v>
      </c>
    </row>
    <row r="112" spans="1:36" x14ac:dyDescent="0.25">
      <c r="A112" t="s">
        <v>33</v>
      </c>
      <c r="B112">
        <v>2016</v>
      </c>
      <c r="C112" t="s">
        <v>31</v>
      </c>
      <c r="D112" s="2">
        <v>126.1</v>
      </c>
      <c r="E112" s="2">
        <v>134.1</v>
      </c>
      <c r="F112" s="2">
        <v>128.6</v>
      </c>
      <c r="G112" s="2">
        <v>129.9</v>
      </c>
      <c r="H112" s="2">
        <v>115.5</v>
      </c>
      <c r="I112" s="2">
        <v>125.7</v>
      </c>
      <c r="J112" s="2">
        <v>141.5</v>
      </c>
      <c r="K112" s="2">
        <v>170.7</v>
      </c>
      <c r="L112" s="2">
        <v>97.4</v>
      </c>
      <c r="M112" s="2">
        <v>132.9</v>
      </c>
      <c r="N112" s="2">
        <v>122.7</v>
      </c>
      <c r="O112" s="2">
        <v>135.30000000000001</v>
      </c>
      <c r="P112" s="2">
        <v>131.30000000000001</v>
      </c>
      <c r="Q112" s="2">
        <v>135.19999999999999</v>
      </c>
      <c r="R112" s="2">
        <v>130.30000000000001</v>
      </c>
      <c r="S112" s="2">
        <v>125.1</v>
      </c>
      <c r="T112" s="2">
        <v>129.5</v>
      </c>
      <c r="U112" s="2">
        <v>123.4</v>
      </c>
      <c r="V112" s="2">
        <v>122.7</v>
      </c>
      <c r="W112" s="2">
        <v>124.2</v>
      </c>
      <c r="X112" s="2">
        <v>122</v>
      </c>
      <c r="Y112" s="2">
        <v>111.1</v>
      </c>
      <c r="Z112" s="2">
        <v>119.8</v>
      </c>
      <c r="AA112" s="2">
        <v>126.3</v>
      </c>
      <c r="AB112" s="2">
        <v>114.5</v>
      </c>
      <c r="AC112" s="2">
        <v>118.5</v>
      </c>
      <c r="AD112" s="2">
        <f>AVERAGE(All_India_Index_Upto_April23_CPI_data[[#This Row],[Cereals and products]:[Food and beverages]])</f>
        <v>130.13076923076923</v>
      </c>
      <c r="AE112" s="2">
        <f>AVERAGE(All_India_Index_Upto_April23_CPI_data[[#This Row],[Recreation and amusement]],All_India_Index_Upto_April23_CPI_data[[#This Row],[Pan, tobacco and intoxicants]])</f>
        <v>127.5</v>
      </c>
      <c r="AF112" s="2">
        <f>AVERAGE(All_India_Index_Upto_April23_CPI_data[[#This Row],[Household goods and services]],All_India_Index_Upto_April23_CPI_data[[#This Row],[Housing]])</f>
        <v>123.80000000000001</v>
      </c>
      <c r="AG112" s="2">
        <f>AVERAGE(All_India_Index_Upto_April23_CPI_data[[#This Row],[Personal care and effects]],All_India_Index_Upto_April23_CPI_data[[#This Row],[Health]])</f>
        <v>118.25</v>
      </c>
      <c r="AH112" s="2">
        <f>AVERAGE(All_India_Index_Upto_April23_CPI_data[[#This Row],[Clothing]:[Clothing and footwear]])</f>
        <v>128.29999999999998</v>
      </c>
      <c r="AI112" s="2">
        <v>126.3</v>
      </c>
      <c r="AJ112" s="1">
        <f>(All_India_Index_Upto_April23_CPI_data[[#This Row],[General index]]-AI109)/AI109</f>
        <v>1.5860428231562478E-3</v>
      </c>
    </row>
    <row r="113" spans="1:36" x14ac:dyDescent="0.25">
      <c r="A113" t="s">
        <v>30</v>
      </c>
      <c r="B113">
        <v>2016</v>
      </c>
      <c r="C113" t="s">
        <v>34</v>
      </c>
      <c r="D113" s="2">
        <v>127.1</v>
      </c>
      <c r="E113" s="2">
        <v>133.69999999999999</v>
      </c>
      <c r="F113" s="2">
        <v>127.7</v>
      </c>
      <c r="G113" s="2">
        <v>130.69999999999999</v>
      </c>
      <c r="H113" s="2">
        <v>118.5</v>
      </c>
      <c r="I113" s="2">
        <v>130.4</v>
      </c>
      <c r="J113" s="2">
        <v>130.9</v>
      </c>
      <c r="K113" s="2">
        <v>162.80000000000001</v>
      </c>
      <c r="L113" s="2">
        <v>98.7</v>
      </c>
      <c r="M113" s="2">
        <v>130.6</v>
      </c>
      <c r="N113" s="2">
        <v>124.8</v>
      </c>
      <c r="O113" s="2">
        <v>136.4</v>
      </c>
      <c r="P113" s="2">
        <v>130.30000000000001</v>
      </c>
      <c r="Q113" s="2">
        <v>134.4</v>
      </c>
      <c r="R113" s="2">
        <v>133.9</v>
      </c>
      <c r="S113" s="2">
        <v>129.80000000000001</v>
      </c>
      <c r="T113" s="2">
        <v>133.4</v>
      </c>
      <c r="U113" s="2">
        <v>0</v>
      </c>
      <c r="V113" s="2">
        <v>127.5</v>
      </c>
      <c r="W113" s="2">
        <v>127.1</v>
      </c>
      <c r="X113" s="2">
        <v>124.3</v>
      </c>
      <c r="Y113" s="2">
        <v>113.9</v>
      </c>
      <c r="Z113" s="2">
        <v>122.3</v>
      </c>
      <c r="AA113" s="2">
        <v>127.1</v>
      </c>
      <c r="AB113" s="2">
        <v>116.8</v>
      </c>
      <c r="AC113" s="2">
        <v>120.9</v>
      </c>
      <c r="AD113" s="2">
        <f>AVERAGE(All_India_Index_Upto_April23_CPI_data[[#This Row],[Cereals and products]:[Food and beverages]])</f>
        <v>129.43076923076922</v>
      </c>
      <c r="AE113" s="2">
        <f>AVERAGE(All_India_Index_Upto_April23_CPI_data[[#This Row],[Recreation and amusement]],All_India_Index_Upto_April23_CPI_data[[#This Row],[Pan, tobacco and intoxicants]])</f>
        <v>128.35</v>
      </c>
      <c r="AF113" s="2">
        <f>AVERAGE(All_India_Index_Upto_April23_CPI_data[[#This Row],[Household goods and services]],All_India_Index_Upto_April23_CPI_data[[#This Row],[Housing]])</f>
        <v>63.55</v>
      </c>
      <c r="AG113" s="2">
        <f>AVERAGE(All_India_Index_Upto_April23_CPI_data[[#This Row],[Personal care and effects]],All_India_Index_Upto_April23_CPI_data[[#This Row],[Health]])</f>
        <v>120.55</v>
      </c>
      <c r="AH113" s="2">
        <f>AVERAGE(All_India_Index_Upto_April23_CPI_data[[#This Row],[Clothing]:[Clothing and footwear]])</f>
        <v>132.36666666666667</v>
      </c>
      <c r="AI113" s="2">
        <v>127.9</v>
      </c>
      <c r="AJ113" s="1">
        <f>(All_India_Index_Upto_April23_CPI_data[[#This Row],[General index]]-AI110)/AI110</f>
        <v>-1.5612802498047513E-3</v>
      </c>
    </row>
    <row r="114" spans="1:36" x14ac:dyDescent="0.25">
      <c r="A114" t="s">
        <v>32</v>
      </c>
      <c r="B114">
        <v>2016</v>
      </c>
      <c r="C114" t="s">
        <v>34</v>
      </c>
      <c r="D114" s="2">
        <v>124.8</v>
      </c>
      <c r="E114" s="2">
        <v>135.1</v>
      </c>
      <c r="F114" s="2">
        <v>130.30000000000001</v>
      </c>
      <c r="G114" s="2">
        <v>129.6</v>
      </c>
      <c r="H114" s="2">
        <v>108.4</v>
      </c>
      <c r="I114" s="2">
        <v>118.6</v>
      </c>
      <c r="J114" s="2">
        <v>129.19999999999999</v>
      </c>
      <c r="K114" s="2">
        <v>176.4</v>
      </c>
      <c r="L114" s="2">
        <v>99.1</v>
      </c>
      <c r="M114" s="2">
        <v>139.69999999999999</v>
      </c>
      <c r="N114" s="2">
        <v>120.6</v>
      </c>
      <c r="O114" s="2">
        <v>135.19999999999999</v>
      </c>
      <c r="P114" s="2">
        <v>129.1</v>
      </c>
      <c r="Q114" s="2">
        <v>140</v>
      </c>
      <c r="R114" s="2">
        <v>126.2</v>
      </c>
      <c r="S114" s="2">
        <v>120.1</v>
      </c>
      <c r="T114" s="2">
        <v>125.3</v>
      </c>
      <c r="U114" s="2">
        <v>124.4</v>
      </c>
      <c r="V114" s="2">
        <v>116</v>
      </c>
      <c r="W114" s="2">
        <v>121.8</v>
      </c>
      <c r="X114" s="2">
        <v>119.5</v>
      </c>
      <c r="Y114" s="2">
        <v>109.1</v>
      </c>
      <c r="Z114" s="2">
        <v>118.8</v>
      </c>
      <c r="AA114" s="2">
        <v>126.3</v>
      </c>
      <c r="AB114" s="2">
        <v>116.2</v>
      </c>
      <c r="AC114" s="2">
        <v>117.2</v>
      </c>
      <c r="AD114" s="2">
        <f>AVERAGE(All_India_Index_Upto_April23_CPI_data[[#This Row],[Cereals and products]:[Food and beverages]])</f>
        <v>128.93076923076922</v>
      </c>
      <c r="AE114" s="2">
        <f>AVERAGE(All_India_Index_Upto_April23_CPI_data[[#This Row],[Recreation and amusement]],All_India_Index_Upto_April23_CPI_data[[#This Row],[Pan, tobacco and intoxicants]])</f>
        <v>129.4</v>
      </c>
      <c r="AF114" s="2">
        <f>AVERAGE(All_India_Index_Upto_April23_CPI_data[[#This Row],[Household goods and services]],All_India_Index_Upto_April23_CPI_data[[#This Row],[Housing]])</f>
        <v>123.1</v>
      </c>
      <c r="AG114" s="2">
        <f>AVERAGE(All_India_Index_Upto_April23_CPI_data[[#This Row],[Personal care and effects]],All_India_Index_Upto_April23_CPI_data[[#This Row],[Health]])</f>
        <v>117.85</v>
      </c>
      <c r="AH114" s="2">
        <f>AVERAGE(All_India_Index_Upto_April23_CPI_data[[#This Row],[Clothing]:[Clothing and footwear]])</f>
        <v>123.86666666666667</v>
      </c>
      <c r="AI114" s="2">
        <v>123.8</v>
      </c>
      <c r="AJ114" s="1">
        <f>(All_India_Index_Upto_April23_CPI_data[[#This Row],[General index]]-AI111)/AI111</f>
        <v>-3.2206119162641357E-3</v>
      </c>
    </row>
    <row r="115" spans="1:36" x14ac:dyDescent="0.25">
      <c r="A115" t="s">
        <v>33</v>
      </c>
      <c r="B115">
        <v>2016</v>
      </c>
      <c r="C115" t="s">
        <v>34</v>
      </c>
      <c r="D115" s="2">
        <v>126.4</v>
      </c>
      <c r="E115" s="2">
        <v>134.19999999999999</v>
      </c>
      <c r="F115" s="2">
        <v>128.69999999999999</v>
      </c>
      <c r="G115" s="2">
        <v>130.30000000000001</v>
      </c>
      <c r="H115" s="2">
        <v>114.8</v>
      </c>
      <c r="I115" s="2">
        <v>124.9</v>
      </c>
      <c r="J115" s="2">
        <v>130.30000000000001</v>
      </c>
      <c r="K115" s="2">
        <v>167.4</v>
      </c>
      <c r="L115" s="2">
        <v>98.8</v>
      </c>
      <c r="M115" s="2">
        <v>133.6</v>
      </c>
      <c r="N115" s="2">
        <v>123</v>
      </c>
      <c r="O115" s="2">
        <v>135.80000000000001</v>
      </c>
      <c r="P115" s="2">
        <v>129.9</v>
      </c>
      <c r="Q115" s="2">
        <v>135.9</v>
      </c>
      <c r="R115" s="2">
        <v>130.9</v>
      </c>
      <c r="S115" s="2">
        <v>125.8</v>
      </c>
      <c r="T115" s="2">
        <v>130.19999999999999</v>
      </c>
      <c r="U115" s="2">
        <v>124.4</v>
      </c>
      <c r="V115" s="2">
        <v>123.1</v>
      </c>
      <c r="W115" s="2">
        <v>124.6</v>
      </c>
      <c r="X115" s="2">
        <v>122.5</v>
      </c>
      <c r="Y115" s="2">
        <v>111.4</v>
      </c>
      <c r="Z115" s="2">
        <v>120.3</v>
      </c>
      <c r="AA115" s="2">
        <v>126.6</v>
      </c>
      <c r="AB115" s="2">
        <v>116.6</v>
      </c>
      <c r="AC115" s="2">
        <v>119.1</v>
      </c>
      <c r="AD115" s="2">
        <f>AVERAGE(All_India_Index_Upto_April23_CPI_data[[#This Row],[Cereals and products]:[Food and beverages]])</f>
        <v>129.08461538461538</v>
      </c>
      <c r="AE115" s="2">
        <f>AVERAGE(All_India_Index_Upto_April23_CPI_data[[#This Row],[Recreation and amusement]],All_India_Index_Upto_April23_CPI_data[[#This Row],[Pan, tobacco and intoxicants]])</f>
        <v>128.1</v>
      </c>
      <c r="AF115" s="2">
        <f>AVERAGE(All_India_Index_Upto_April23_CPI_data[[#This Row],[Household goods and services]],All_India_Index_Upto_April23_CPI_data[[#This Row],[Housing]])</f>
        <v>124.5</v>
      </c>
      <c r="AG115" s="2">
        <f>AVERAGE(All_India_Index_Upto_April23_CPI_data[[#This Row],[Personal care and effects]],All_India_Index_Upto_April23_CPI_data[[#This Row],[Health]])</f>
        <v>119.55</v>
      </c>
      <c r="AH115" s="2">
        <f>AVERAGE(All_India_Index_Upto_April23_CPI_data[[#This Row],[Clothing]:[Clothing and footwear]])</f>
        <v>128.96666666666667</v>
      </c>
      <c r="AI115" s="2">
        <v>126</v>
      </c>
      <c r="AJ115" s="1">
        <f>(All_India_Index_Upto_April23_CPI_data[[#This Row],[General index]]-AI112)/AI112</f>
        <v>-2.3752969121139918E-3</v>
      </c>
    </row>
    <row r="116" spans="1:36" x14ac:dyDescent="0.25">
      <c r="A116" t="s">
        <v>30</v>
      </c>
      <c r="B116">
        <v>2016</v>
      </c>
      <c r="C116" t="s">
        <v>35</v>
      </c>
      <c r="D116" s="2">
        <v>127.3</v>
      </c>
      <c r="E116" s="2">
        <v>134.4</v>
      </c>
      <c r="F116" s="2">
        <v>125.1</v>
      </c>
      <c r="G116" s="2">
        <v>130.5</v>
      </c>
      <c r="H116" s="2">
        <v>118.3</v>
      </c>
      <c r="I116" s="2">
        <v>131.69999999999999</v>
      </c>
      <c r="J116" s="2">
        <v>130.69999999999999</v>
      </c>
      <c r="K116" s="2">
        <v>161.19999999999999</v>
      </c>
      <c r="L116" s="2">
        <v>100.4</v>
      </c>
      <c r="M116" s="2">
        <v>130.80000000000001</v>
      </c>
      <c r="N116" s="2">
        <v>124.9</v>
      </c>
      <c r="O116" s="2">
        <v>137</v>
      </c>
      <c r="P116" s="2">
        <v>130.4</v>
      </c>
      <c r="Q116" s="2">
        <v>135</v>
      </c>
      <c r="R116" s="2">
        <v>134.4</v>
      </c>
      <c r="S116" s="2">
        <v>130.19999999999999</v>
      </c>
      <c r="T116" s="2">
        <v>133.80000000000001</v>
      </c>
      <c r="U116" s="2">
        <v>0</v>
      </c>
      <c r="V116" s="2">
        <v>127</v>
      </c>
      <c r="W116" s="2">
        <v>127.7</v>
      </c>
      <c r="X116" s="2">
        <v>124.8</v>
      </c>
      <c r="Y116" s="2">
        <v>113.6</v>
      </c>
      <c r="Z116" s="2">
        <v>122.5</v>
      </c>
      <c r="AA116" s="2">
        <v>127.5</v>
      </c>
      <c r="AB116" s="2">
        <v>117.4</v>
      </c>
      <c r="AC116" s="2">
        <v>121.1</v>
      </c>
      <c r="AD116" s="2">
        <f>AVERAGE(All_India_Index_Upto_April23_CPI_data[[#This Row],[Cereals and products]:[Food and beverages]])</f>
        <v>129.43846153846155</v>
      </c>
      <c r="AE116" s="2">
        <f>AVERAGE(All_India_Index_Upto_April23_CPI_data[[#This Row],[Recreation and amusement]],All_India_Index_Upto_April23_CPI_data[[#This Row],[Pan, tobacco and intoxicants]])</f>
        <v>128.75</v>
      </c>
      <c r="AF116" s="2">
        <f>AVERAGE(All_India_Index_Upto_April23_CPI_data[[#This Row],[Household goods and services]],All_India_Index_Upto_April23_CPI_data[[#This Row],[Housing]])</f>
        <v>63.85</v>
      </c>
      <c r="AG116" s="2">
        <f>AVERAGE(All_India_Index_Upto_April23_CPI_data[[#This Row],[Personal care and effects]],All_India_Index_Upto_April23_CPI_data[[#This Row],[Health]])</f>
        <v>121.1</v>
      </c>
      <c r="AH116" s="2">
        <f>AVERAGE(All_India_Index_Upto_April23_CPI_data[[#This Row],[Clothing]:[Clothing and footwear]])</f>
        <v>132.80000000000001</v>
      </c>
      <c r="AI116" s="2">
        <v>128</v>
      </c>
      <c r="AJ116" s="1">
        <f>(All_India_Index_Upto_April23_CPI_data[[#This Row],[General index]]-AI113)/AI113</f>
        <v>7.8186082877243403E-4</v>
      </c>
    </row>
    <row r="117" spans="1:36" x14ac:dyDescent="0.25">
      <c r="A117" t="s">
        <v>32</v>
      </c>
      <c r="B117">
        <v>2016</v>
      </c>
      <c r="C117" t="s">
        <v>35</v>
      </c>
      <c r="D117" s="2">
        <v>124.8</v>
      </c>
      <c r="E117" s="2">
        <v>136.30000000000001</v>
      </c>
      <c r="F117" s="2">
        <v>123.7</v>
      </c>
      <c r="G117" s="2">
        <v>129.69999999999999</v>
      </c>
      <c r="H117" s="2">
        <v>107.9</v>
      </c>
      <c r="I117" s="2">
        <v>119.9</v>
      </c>
      <c r="J117" s="2">
        <v>128.1</v>
      </c>
      <c r="K117" s="2">
        <v>170.3</v>
      </c>
      <c r="L117" s="2">
        <v>101.8</v>
      </c>
      <c r="M117" s="2">
        <v>140.1</v>
      </c>
      <c r="N117" s="2">
        <v>120.7</v>
      </c>
      <c r="O117" s="2">
        <v>135.4</v>
      </c>
      <c r="P117" s="2">
        <v>128.9</v>
      </c>
      <c r="Q117" s="2">
        <v>140.6</v>
      </c>
      <c r="R117" s="2">
        <v>126.4</v>
      </c>
      <c r="S117" s="2">
        <v>120.3</v>
      </c>
      <c r="T117" s="2">
        <v>125.5</v>
      </c>
      <c r="U117" s="2">
        <v>124.9</v>
      </c>
      <c r="V117" s="2">
        <v>114.8</v>
      </c>
      <c r="W117" s="2">
        <v>122.3</v>
      </c>
      <c r="X117" s="2">
        <v>119.7</v>
      </c>
      <c r="Y117" s="2">
        <v>108.5</v>
      </c>
      <c r="Z117" s="2">
        <v>119.1</v>
      </c>
      <c r="AA117" s="2">
        <v>126.4</v>
      </c>
      <c r="AB117" s="2">
        <v>117.1</v>
      </c>
      <c r="AC117" s="2">
        <v>117.3</v>
      </c>
      <c r="AD117" s="2">
        <f>AVERAGE(All_India_Index_Upto_April23_CPI_data[[#This Row],[Cereals and products]:[Food and beverages]])</f>
        <v>128.27692307692308</v>
      </c>
      <c r="AE117" s="2">
        <f>AVERAGE(All_India_Index_Upto_April23_CPI_data[[#This Row],[Recreation and amusement]],All_India_Index_Upto_April23_CPI_data[[#This Row],[Pan, tobacco and intoxicants]])</f>
        <v>129.85</v>
      </c>
      <c r="AF117" s="2">
        <f>AVERAGE(All_India_Index_Upto_April23_CPI_data[[#This Row],[Household goods and services]],All_India_Index_Upto_April23_CPI_data[[#This Row],[Housing]])</f>
        <v>123.6</v>
      </c>
      <c r="AG117" s="2">
        <f>AVERAGE(All_India_Index_Upto_April23_CPI_data[[#This Row],[Personal care and effects]],All_India_Index_Upto_April23_CPI_data[[#This Row],[Health]])</f>
        <v>118.4</v>
      </c>
      <c r="AH117" s="2">
        <f>AVERAGE(All_India_Index_Upto_April23_CPI_data[[#This Row],[Clothing]:[Clothing and footwear]])</f>
        <v>124.06666666666666</v>
      </c>
      <c r="AI117" s="2">
        <v>123.8</v>
      </c>
      <c r="AJ117" s="1">
        <f>(All_India_Index_Upto_April23_CPI_data[[#This Row],[General index]]-AI114)/AI114</f>
        <v>0</v>
      </c>
    </row>
    <row r="118" spans="1:36" x14ac:dyDescent="0.25">
      <c r="A118" t="s">
        <v>33</v>
      </c>
      <c r="B118">
        <v>2016</v>
      </c>
      <c r="C118" t="s">
        <v>35</v>
      </c>
      <c r="D118" s="2">
        <v>126.5</v>
      </c>
      <c r="E118" s="2">
        <v>135.1</v>
      </c>
      <c r="F118" s="2">
        <v>124.6</v>
      </c>
      <c r="G118" s="2">
        <v>130.19999999999999</v>
      </c>
      <c r="H118" s="2">
        <v>114.5</v>
      </c>
      <c r="I118" s="2">
        <v>126.2</v>
      </c>
      <c r="J118" s="2">
        <v>129.80000000000001</v>
      </c>
      <c r="K118" s="2">
        <v>164.3</v>
      </c>
      <c r="L118" s="2">
        <v>100.9</v>
      </c>
      <c r="M118" s="2">
        <v>133.9</v>
      </c>
      <c r="N118" s="2">
        <v>123.1</v>
      </c>
      <c r="O118" s="2">
        <v>136.30000000000001</v>
      </c>
      <c r="P118" s="2">
        <v>129.80000000000001</v>
      </c>
      <c r="Q118" s="2">
        <v>136.5</v>
      </c>
      <c r="R118" s="2">
        <v>131.30000000000001</v>
      </c>
      <c r="S118" s="2">
        <v>126.1</v>
      </c>
      <c r="T118" s="2">
        <v>130.5</v>
      </c>
      <c r="U118" s="2">
        <v>124.9</v>
      </c>
      <c r="V118" s="2">
        <v>122.4</v>
      </c>
      <c r="W118" s="2">
        <v>125.1</v>
      </c>
      <c r="X118" s="2">
        <v>122.9</v>
      </c>
      <c r="Y118" s="2">
        <v>110.9</v>
      </c>
      <c r="Z118" s="2">
        <v>120.6</v>
      </c>
      <c r="AA118" s="2">
        <v>126.9</v>
      </c>
      <c r="AB118" s="2">
        <v>117.3</v>
      </c>
      <c r="AC118" s="2">
        <v>119.3</v>
      </c>
      <c r="AD118" s="2">
        <f>AVERAGE(All_India_Index_Upto_April23_CPI_data[[#This Row],[Cereals and products]:[Food and beverages]])</f>
        <v>128.86153846153846</v>
      </c>
      <c r="AE118" s="2">
        <f>AVERAGE(All_India_Index_Upto_April23_CPI_data[[#This Row],[Recreation and amusement]],All_India_Index_Upto_April23_CPI_data[[#This Row],[Pan, tobacco and intoxicants]])</f>
        <v>128.55000000000001</v>
      </c>
      <c r="AF118" s="2">
        <f>AVERAGE(All_India_Index_Upto_April23_CPI_data[[#This Row],[Household goods and services]],All_India_Index_Upto_April23_CPI_data[[#This Row],[Housing]])</f>
        <v>125</v>
      </c>
      <c r="AG118" s="2">
        <f>AVERAGE(All_India_Index_Upto_April23_CPI_data[[#This Row],[Personal care and effects]],All_India_Index_Upto_April23_CPI_data[[#This Row],[Health]])</f>
        <v>120.1</v>
      </c>
      <c r="AH118" s="2">
        <f>AVERAGE(All_India_Index_Upto_April23_CPI_data[[#This Row],[Clothing]:[Clothing and footwear]])</f>
        <v>129.29999999999998</v>
      </c>
      <c r="AI118" s="2">
        <v>126</v>
      </c>
      <c r="AJ118" s="1">
        <f>(All_India_Index_Upto_April23_CPI_data[[#This Row],[General index]]-AI115)/AI115</f>
        <v>0</v>
      </c>
    </row>
    <row r="119" spans="1:36" x14ac:dyDescent="0.25">
      <c r="A119" t="s">
        <v>30</v>
      </c>
      <c r="B119">
        <v>2016</v>
      </c>
      <c r="C119" t="s">
        <v>36</v>
      </c>
      <c r="D119" s="2">
        <v>127.4</v>
      </c>
      <c r="E119" s="2">
        <v>135.4</v>
      </c>
      <c r="F119" s="2">
        <v>123.4</v>
      </c>
      <c r="G119" s="2">
        <v>131.30000000000001</v>
      </c>
      <c r="H119" s="2">
        <v>118.2</v>
      </c>
      <c r="I119" s="2">
        <v>138.1</v>
      </c>
      <c r="J119" s="2">
        <v>134.1</v>
      </c>
      <c r="K119" s="2">
        <v>162.69999999999999</v>
      </c>
      <c r="L119" s="2">
        <v>105</v>
      </c>
      <c r="M119" s="2">
        <v>131.4</v>
      </c>
      <c r="N119" s="2">
        <v>125.4</v>
      </c>
      <c r="O119" s="2">
        <v>137.4</v>
      </c>
      <c r="P119" s="2">
        <v>131.80000000000001</v>
      </c>
      <c r="Q119" s="2">
        <v>135.5</v>
      </c>
      <c r="R119" s="2">
        <v>135</v>
      </c>
      <c r="S119" s="2">
        <v>130.6</v>
      </c>
      <c r="T119" s="2">
        <v>134.4</v>
      </c>
      <c r="U119" s="2">
        <v>0</v>
      </c>
      <c r="V119" s="2">
        <v>127</v>
      </c>
      <c r="W119" s="2">
        <v>128</v>
      </c>
      <c r="X119" s="2">
        <v>125.2</v>
      </c>
      <c r="Y119" s="2">
        <v>114.4</v>
      </c>
      <c r="Z119" s="2">
        <v>123.2</v>
      </c>
      <c r="AA119" s="2">
        <v>127.9</v>
      </c>
      <c r="AB119" s="2">
        <v>118.4</v>
      </c>
      <c r="AC119" s="2">
        <v>121.7</v>
      </c>
      <c r="AD119" s="2">
        <f>AVERAGE(All_India_Index_Upto_April23_CPI_data[[#This Row],[Cereals and products]:[Food and beverages]])</f>
        <v>130.89230769230772</v>
      </c>
      <c r="AE119" s="2">
        <f>AVERAGE(All_India_Index_Upto_April23_CPI_data[[#This Row],[Recreation and amusement]],All_India_Index_Upto_April23_CPI_data[[#This Row],[Pan, tobacco and intoxicants]])</f>
        <v>129.35</v>
      </c>
      <c r="AF119" s="2">
        <f>AVERAGE(All_India_Index_Upto_April23_CPI_data[[#This Row],[Household goods and services]],All_India_Index_Upto_April23_CPI_data[[#This Row],[Housing]])</f>
        <v>64</v>
      </c>
      <c r="AG119" s="2">
        <f>AVERAGE(All_India_Index_Upto_April23_CPI_data[[#This Row],[Personal care and effects]],All_India_Index_Upto_April23_CPI_data[[#This Row],[Health]])</f>
        <v>121.80000000000001</v>
      </c>
      <c r="AH119" s="2">
        <f>AVERAGE(All_India_Index_Upto_April23_CPI_data[[#This Row],[Clothing]:[Clothing and footwear]])</f>
        <v>133.33333333333334</v>
      </c>
      <c r="AI119" s="2">
        <v>129</v>
      </c>
      <c r="AJ119" s="1">
        <f>(All_India_Index_Upto_April23_CPI_data[[#This Row],[General index]]-AI116)/AI116</f>
        <v>7.8125E-3</v>
      </c>
    </row>
    <row r="120" spans="1:36" x14ac:dyDescent="0.25">
      <c r="A120" t="s">
        <v>32</v>
      </c>
      <c r="B120">
        <v>2016</v>
      </c>
      <c r="C120" t="s">
        <v>36</v>
      </c>
      <c r="D120" s="2">
        <v>124.9</v>
      </c>
      <c r="E120" s="2">
        <v>139.30000000000001</v>
      </c>
      <c r="F120" s="2">
        <v>119.9</v>
      </c>
      <c r="G120" s="2">
        <v>130.19999999999999</v>
      </c>
      <c r="H120" s="2">
        <v>108.9</v>
      </c>
      <c r="I120" s="2">
        <v>131.1</v>
      </c>
      <c r="J120" s="2">
        <v>136.80000000000001</v>
      </c>
      <c r="K120" s="2">
        <v>176.9</v>
      </c>
      <c r="L120" s="2">
        <v>109.1</v>
      </c>
      <c r="M120" s="2">
        <v>140.4</v>
      </c>
      <c r="N120" s="2">
        <v>121.1</v>
      </c>
      <c r="O120" s="2">
        <v>135.9</v>
      </c>
      <c r="P120" s="2">
        <v>131.80000000000001</v>
      </c>
      <c r="Q120" s="2">
        <v>141.5</v>
      </c>
      <c r="R120" s="2">
        <v>126.8</v>
      </c>
      <c r="S120" s="2">
        <v>120.5</v>
      </c>
      <c r="T120" s="2">
        <v>125.8</v>
      </c>
      <c r="U120" s="2">
        <v>125.6</v>
      </c>
      <c r="V120" s="2">
        <v>114.6</v>
      </c>
      <c r="W120" s="2">
        <v>122.8</v>
      </c>
      <c r="X120" s="2">
        <v>120</v>
      </c>
      <c r="Y120" s="2">
        <v>110</v>
      </c>
      <c r="Z120" s="2">
        <v>119.5</v>
      </c>
      <c r="AA120" s="2">
        <v>127.6</v>
      </c>
      <c r="AB120" s="2">
        <v>117.6</v>
      </c>
      <c r="AC120" s="2">
        <v>118.2</v>
      </c>
      <c r="AD120" s="2">
        <f>AVERAGE(All_India_Index_Upto_April23_CPI_data[[#This Row],[Cereals and products]:[Food and beverages]])</f>
        <v>131.25384615384615</v>
      </c>
      <c r="AE120" s="2">
        <f>AVERAGE(All_India_Index_Upto_April23_CPI_data[[#This Row],[Recreation and amusement]],All_India_Index_Upto_April23_CPI_data[[#This Row],[Pan, tobacco and intoxicants]])</f>
        <v>130.5</v>
      </c>
      <c r="AF120" s="2">
        <f>AVERAGE(All_India_Index_Upto_April23_CPI_data[[#This Row],[Household goods and services]],All_India_Index_Upto_April23_CPI_data[[#This Row],[Housing]])</f>
        <v>124.19999999999999</v>
      </c>
      <c r="AG120" s="2">
        <f>AVERAGE(All_India_Index_Upto_April23_CPI_data[[#This Row],[Personal care and effects]],All_India_Index_Upto_April23_CPI_data[[#This Row],[Health]])</f>
        <v>118.8</v>
      </c>
      <c r="AH120" s="2">
        <f>AVERAGE(All_India_Index_Upto_April23_CPI_data[[#This Row],[Clothing]:[Clothing and footwear]])</f>
        <v>124.36666666666667</v>
      </c>
      <c r="AI120" s="2">
        <v>125.3</v>
      </c>
      <c r="AJ120" s="1">
        <f>(All_India_Index_Upto_April23_CPI_data[[#This Row],[General index]]-AI117)/AI117</f>
        <v>1.2116316639741519E-2</v>
      </c>
    </row>
    <row r="121" spans="1:36" x14ac:dyDescent="0.25">
      <c r="A121" t="s">
        <v>33</v>
      </c>
      <c r="B121">
        <v>2016</v>
      </c>
      <c r="C121" t="s">
        <v>36</v>
      </c>
      <c r="D121" s="2">
        <v>126.6</v>
      </c>
      <c r="E121" s="2">
        <v>136.80000000000001</v>
      </c>
      <c r="F121" s="2">
        <v>122</v>
      </c>
      <c r="G121" s="2">
        <v>130.9</v>
      </c>
      <c r="H121" s="2">
        <v>114.8</v>
      </c>
      <c r="I121" s="2">
        <v>134.80000000000001</v>
      </c>
      <c r="J121" s="2">
        <v>135</v>
      </c>
      <c r="K121" s="2">
        <v>167.5</v>
      </c>
      <c r="L121" s="2">
        <v>106.4</v>
      </c>
      <c r="M121" s="2">
        <v>134.4</v>
      </c>
      <c r="N121" s="2">
        <v>123.6</v>
      </c>
      <c r="O121" s="2">
        <v>136.69999999999999</v>
      </c>
      <c r="P121" s="2">
        <v>131.80000000000001</v>
      </c>
      <c r="Q121" s="2">
        <v>137.1</v>
      </c>
      <c r="R121" s="2">
        <v>131.80000000000001</v>
      </c>
      <c r="S121" s="2">
        <v>126.4</v>
      </c>
      <c r="T121" s="2">
        <v>131</v>
      </c>
      <c r="U121" s="2">
        <v>125.6</v>
      </c>
      <c r="V121" s="2">
        <v>122.3</v>
      </c>
      <c r="W121" s="2">
        <v>125.5</v>
      </c>
      <c r="X121" s="2">
        <v>123.2</v>
      </c>
      <c r="Y121" s="2">
        <v>112.1</v>
      </c>
      <c r="Z121" s="2">
        <v>121.1</v>
      </c>
      <c r="AA121" s="2">
        <v>127.7</v>
      </c>
      <c r="AB121" s="2">
        <v>118.1</v>
      </c>
      <c r="AC121" s="2">
        <v>120</v>
      </c>
      <c r="AD121" s="2">
        <f>AVERAGE(All_India_Index_Upto_April23_CPI_data[[#This Row],[Cereals and products]:[Food and beverages]])</f>
        <v>130.86923076923077</v>
      </c>
      <c r="AE121" s="2">
        <f>AVERAGE(All_India_Index_Upto_April23_CPI_data[[#This Row],[Recreation and amusement]],All_India_Index_Upto_April23_CPI_data[[#This Row],[Pan, tobacco and intoxicants]])</f>
        <v>129.1</v>
      </c>
      <c r="AF121" s="2">
        <f>AVERAGE(All_India_Index_Upto_April23_CPI_data[[#This Row],[Household goods and services]],All_India_Index_Upto_April23_CPI_data[[#This Row],[Housing]])</f>
        <v>125.55</v>
      </c>
      <c r="AG121" s="2">
        <f>AVERAGE(All_India_Index_Upto_April23_CPI_data[[#This Row],[Personal care and effects]],All_India_Index_Upto_April23_CPI_data[[#This Row],[Health]])</f>
        <v>120.65</v>
      </c>
      <c r="AH121" s="2">
        <f>AVERAGE(All_India_Index_Upto_April23_CPI_data[[#This Row],[Clothing]:[Clothing and footwear]])</f>
        <v>129.73333333333335</v>
      </c>
      <c r="AI121" s="2">
        <v>127.3</v>
      </c>
      <c r="AJ121" s="1">
        <f>(All_India_Index_Upto_April23_CPI_data[[#This Row],[General index]]-AI118)/AI118</f>
        <v>1.0317460317460295E-2</v>
      </c>
    </row>
    <row r="122" spans="1:36" x14ac:dyDescent="0.25">
      <c r="A122" t="s">
        <v>30</v>
      </c>
      <c r="B122">
        <v>2016</v>
      </c>
      <c r="C122" t="s">
        <v>37</v>
      </c>
      <c r="D122" s="2">
        <v>127.6</v>
      </c>
      <c r="E122" s="2">
        <v>137.5</v>
      </c>
      <c r="F122" s="2">
        <v>124.4</v>
      </c>
      <c r="G122" s="2">
        <v>132.4</v>
      </c>
      <c r="H122" s="2">
        <v>118.2</v>
      </c>
      <c r="I122" s="2">
        <v>138.1</v>
      </c>
      <c r="J122" s="2">
        <v>141.80000000000001</v>
      </c>
      <c r="K122" s="2">
        <v>166</v>
      </c>
      <c r="L122" s="2">
        <v>107.5</v>
      </c>
      <c r="M122" s="2">
        <v>132.19999999999999</v>
      </c>
      <c r="N122" s="2">
        <v>126.1</v>
      </c>
      <c r="O122" s="2">
        <v>138.30000000000001</v>
      </c>
      <c r="P122" s="2">
        <v>133.6</v>
      </c>
      <c r="Q122" s="2">
        <v>136</v>
      </c>
      <c r="R122" s="2">
        <v>135.4</v>
      </c>
      <c r="S122" s="2">
        <v>131.1</v>
      </c>
      <c r="T122" s="2">
        <v>134.80000000000001</v>
      </c>
      <c r="U122" s="2">
        <v>0</v>
      </c>
      <c r="V122" s="2">
        <v>127.4</v>
      </c>
      <c r="W122" s="2">
        <v>128.5</v>
      </c>
      <c r="X122" s="2">
        <v>125.8</v>
      </c>
      <c r="Y122" s="2">
        <v>115.1</v>
      </c>
      <c r="Z122" s="2">
        <v>123.6</v>
      </c>
      <c r="AA122" s="2">
        <v>129.1</v>
      </c>
      <c r="AB122" s="2">
        <v>119.7</v>
      </c>
      <c r="AC122" s="2">
        <v>122.5</v>
      </c>
      <c r="AD122" s="2">
        <f>AVERAGE(All_India_Index_Upto_April23_CPI_data[[#This Row],[Cereals and products]:[Food and beverages]])</f>
        <v>132.59230769230768</v>
      </c>
      <c r="AE122" s="2">
        <f>AVERAGE(All_India_Index_Upto_April23_CPI_data[[#This Row],[Recreation and amusement]],All_India_Index_Upto_April23_CPI_data[[#This Row],[Pan, tobacco and intoxicants]])</f>
        <v>129.80000000000001</v>
      </c>
      <c r="AF122" s="2">
        <f>AVERAGE(All_India_Index_Upto_April23_CPI_data[[#This Row],[Household goods and services]],All_India_Index_Upto_April23_CPI_data[[#This Row],[Housing]])</f>
        <v>64.25</v>
      </c>
      <c r="AG122" s="2">
        <f>AVERAGE(All_India_Index_Upto_April23_CPI_data[[#This Row],[Personal care and effects]],All_India_Index_Upto_April23_CPI_data[[#This Row],[Health]])</f>
        <v>122.75</v>
      </c>
      <c r="AH122" s="2">
        <f>AVERAGE(All_India_Index_Upto_April23_CPI_data[[#This Row],[Clothing]:[Clothing and footwear]])</f>
        <v>133.76666666666668</v>
      </c>
      <c r="AI122" s="2">
        <v>130.30000000000001</v>
      </c>
      <c r="AJ122" s="1">
        <f>(All_India_Index_Upto_April23_CPI_data[[#This Row],[General index]]-AI119)/AI119</f>
        <v>1.007751937984505E-2</v>
      </c>
    </row>
    <row r="123" spans="1:36" x14ac:dyDescent="0.25">
      <c r="A123" t="s">
        <v>32</v>
      </c>
      <c r="B123">
        <v>2016</v>
      </c>
      <c r="C123" t="s">
        <v>37</v>
      </c>
      <c r="D123" s="2">
        <v>125</v>
      </c>
      <c r="E123" s="2">
        <v>142.1</v>
      </c>
      <c r="F123" s="2">
        <v>127</v>
      </c>
      <c r="G123" s="2">
        <v>130.4</v>
      </c>
      <c r="H123" s="2">
        <v>109.6</v>
      </c>
      <c r="I123" s="2">
        <v>133.5</v>
      </c>
      <c r="J123" s="2">
        <v>151.4</v>
      </c>
      <c r="K123" s="2">
        <v>182.8</v>
      </c>
      <c r="L123" s="2">
        <v>111.1</v>
      </c>
      <c r="M123" s="2">
        <v>141.5</v>
      </c>
      <c r="N123" s="2">
        <v>121.5</v>
      </c>
      <c r="O123" s="2">
        <v>136.30000000000001</v>
      </c>
      <c r="P123" s="2">
        <v>134.6</v>
      </c>
      <c r="Q123" s="2">
        <v>142.19999999999999</v>
      </c>
      <c r="R123" s="2">
        <v>127.2</v>
      </c>
      <c r="S123" s="2">
        <v>120.7</v>
      </c>
      <c r="T123" s="2">
        <v>126.2</v>
      </c>
      <c r="U123" s="2">
        <v>126</v>
      </c>
      <c r="V123" s="2">
        <v>115</v>
      </c>
      <c r="W123" s="2">
        <v>123.2</v>
      </c>
      <c r="X123" s="2">
        <v>120.3</v>
      </c>
      <c r="Y123" s="2">
        <v>110.7</v>
      </c>
      <c r="Z123" s="2">
        <v>119.8</v>
      </c>
      <c r="AA123" s="2">
        <v>128</v>
      </c>
      <c r="AB123" s="2">
        <v>118.5</v>
      </c>
      <c r="AC123" s="2">
        <v>118.7</v>
      </c>
      <c r="AD123" s="2">
        <f>AVERAGE(All_India_Index_Upto_April23_CPI_data[[#This Row],[Cereals and products]:[Food and beverages]])</f>
        <v>134.36923076923074</v>
      </c>
      <c r="AE123" s="2">
        <f>AVERAGE(All_India_Index_Upto_April23_CPI_data[[#This Row],[Recreation and amusement]],All_India_Index_Upto_April23_CPI_data[[#This Row],[Pan, tobacco and intoxicants]])</f>
        <v>131</v>
      </c>
      <c r="AF123" s="2">
        <f>AVERAGE(All_India_Index_Upto_April23_CPI_data[[#This Row],[Household goods and services]],All_India_Index_Upto_April23_CPI_data[[#This Row],[Housing]])</f>
        <v>124.6</v>
      </c>
      <c r="AG123" s="2">
        <f>AVERAGE(All_India_Index_Upto_April23_CPI_data[[#This Row],[Personal care and effects]],All_India_Index_Upto_April23_CPI_data[[#This Row],[Health]])</f>
        <v>119.4</v>
      </c>
      <c r="AH123" s="2">
        <f>AVERAGE(All_India_Index_Upto_April23_CPI_data[[#This Row],[Clothing]:[Clothing and footwear]])</f>
        <v>124.7</v>
      </c>
      <c r="AI123" s="2">
        <v>126.6</v>
      </c>
      <c r="AJ123" s="1">
        <f>(All_India_Index_Upto_April23_CPI_data[[#This Row],[General index]]-AI120)/AI120</f>
        <v>1.0375099760574599E-2</v>
      </c>
    </row>
    <row r="124" spans="1:36" x14ac:dyDescent="0.25">
      <c r="A124" t="s">
        <v>33</v>
      </c>
      <c r="B124">
        <v>2016</v>
      </c>
      <c r="C124" t="s">
        <v>37</v>
      </c>
      <c r="D124" s="2">
        <v>126.8</v>
      </c>
      <c r="E124" s="2">
        <v>139.1</v>
      </c>
      <c r="F124" s="2">
        <v>125.4</v>
      </c>
      <c r="G124" s="2">
        <v>131.69999999999999</v>
      </c>
      <c r="H124" s="2">
        <v>115</v>
      </c>
      <c r="I124" s="2">
        <v>136</v>
      </c>
      <c r="J124" s="2">
        <v>145.1</v>
      </c>
      <c r="K124" s="2">
        <v>171.7</v>
      </c>
      <c r="L124" s="2">
        <v>108.7</v>
      </c>
      <c r="M124" s="2">
        <v>135.30000000000001</v>
      </c>
      <c r="N124" s="2">
        <v>124.2</v>
      </c>
      <c r="O124" s="2">
        <v>137.4</v>
      </c>
      <c r="P124" s="2">
        <v>134</v>
      </c>
      <c r="Q124" s="2">
        <v>137.69999999999999</v>
      </c>
      <c r="R124" s="2">
        <v>132.19999999999999</v>
      </c>
      <c r="S124" s="2">
        <v>126.8</v>
      </c>
      <c r="T124" s="2">
        <v>131.4</v>
      </c>
      <c r="U124" s="2">
        <v>126</v>
      </c>
      <c r="V124" s="2">
        <v>122.7</v>
      </c>
      <c r="W124" s="2">
        <v>126</v>
      </c>
      <c r="X124" s="2">
        <v>123.7</v>
      </c>
      <c r="Y124" s="2">
        <v>112.8</v>
      </c>
      <c r="Z124" s="2">
        <v>121.5</v>
      </c>
      <c r="AA124" s="2">
        <v>128.5</v>
      </c>
      <c r="AB124" s="2">
        <v>119.2</v>
      </c>
      <c r="AC124" s="2">
        <v>120.7</v>
      </c>
      <c r="AD124" s="2">
        <f>AVERAGE(All_India_Index_Upto_April23_CPI_data[[#This Row],[Cereals and products]:[Food and beverages]])</f>
        <v>133.1076923076923</v>
      </c>
      <c r="AE124" s="2">
        <f>AVERAGE(All_India_Index_Upto_April23_CPI_data[[#This Row],[Recreation and amusement]],All_India_Index_Upto_April23_CPI_data[[#This Row],[Pan, tobacco and intoxicants]])</f>
        <v>129.6</v>
      </c>
      <c r="AF124" s="2">
        <f>AVERAGE(All_India_Index_Upto_April23_CPI_data[[#This Row],[Household goods and services]],All_India_Index_Upto_April23_CPI_data[[#This Row],[Housing]])</f>
        <v>126</v>
      </c>
      <c r="AG124" s="2">
        <f>AVERAGE(All_India_Index_Upto_April23_CPI_data[[#This Row],[Personal care and effects]],All_India_Index_Upto_April23_CPI_data[[#This Row],[Health]])</f>
        <v>121.45</v>
      </c>
      <c r="AH124" s="2">
        <f>AVERAGE(All_India_Index_Upto_April23_CPI_data[[#This Row],[Clothing]:[Clothing and footwear]])</f>
        <v>130.13333333333333</v>
      </c>
      <c r="AI124" s="2">
        <v>128.6</v>
      </c>
      <c r="AJ124" s="1">
        <f>(All_India_Index_Upto_April23_CPI_data[[#This Row],[General index]]-AI121)/AI121</f>
        <v>1.0212097407698328E-2</v>
      </c>
    </row>
    <row r="125" spans="1:36" x14ac:dyDescent="0.25">
      <c r="A125" t="s">
        <v>30</v>
      </c>
      <c r="B125">
        <v>2016</v>
      </c>
      <c r="C125" t="s">
        <v>38</v>
      </c>
      <c r="D125" s="2">
        <v>128.6</v>
      </c>
      <c r="E125" s="2">
        <v>138.6</v>
      </c>
      <c r="F125" s="2">
        <v>126.6</v>
      </c>
      <c r="G125" s="2">
        <v>133.6</v>
      </c>
      <c r="H125" s="2">
        <v>118.6</v>
      </c>
      <c r="I125" s="2">
        <v>137.4</v>
      </c>
      <c r="J125" s="2">
        <v>152.5</v>
      </c>
      <c r="K125" s="2">
        <v>169.2</v>
      </c>
      <c r="L125" s="2">
        <v>108.8</v>
      </c>
      <c r="M125" s="2">
        <v>133.1</v>
      </c>
      <c r="N125" s="2">
        <v>126.4</v>
      </c>
      <c r="O125" s="2">
        <v>139.19999999999999</v>
      </c>
      <c r="P125" s="2">
        <v>136</v>
      </c>
      <c r="Q125" s="2">
        <v>137.19999999999999</v>
      </c>
      <c r="R125" s="2">
        <v>136.30000000000001</v>
      </c>
      <c r="S125" s="2">
        <v>131.6</v>
      </c>
      <c r="T125" s="2">
        <v>135.6</v>
      </c>
      <c r="U125" s="2">
        <v>0</v>
      </c>
      <c r="V125" s="2">
        <v>128</v>
      </c>
      <c r="W125" s="2">
        <v>129.30000000000001</v>
      </c>
      <c r="X125" s="2">
        <v>126.2</v>
      </c>
      <c r="Y125" s="2">
        <v>116.3</v>
      </c>
      <c r="Z125" s="2">
        <v>124.1</v>
      </c>
      <c r="AA125" s="2">
        <v>130.19999999999999</v>
      </c>
      <c r="AB125" s="2">
        <v>119.9</v>
      </c>
      <c r="AC125" s="2">
        <v>123.3</v>
      </c>
      <c r="AD125" s="2">
        <f>AVERAGE(All_India_Index_Upto_April23_CPI_data[[#This Row],[Cereals and products]:[Food and beverages]])</f>
        <v>134.50769230769231</v>
      </c>
      <c r="AE125" s="2">
        <f>AVERAGE(All_India_Index_Upto_April23_CPI_data[[#This Row],[Recreation and amusement]],All_India_Index_Upto_April23_CPI_data[[#This Row],[Pan, tobacco and intoxicants]])</f>
        <v>130.64999999999998</v>
      </c>
      <c r="AF125" s="2">
        <f>AVERAGE(All_India_Index_Upto_April23_CPI_data[[#This Row],[Household goods and services]],All_India_Index_Upto_April23_CPI_data[[#This Row],[Housing]])</f>
        <v>64.650000000000006</v>
      </c>
      <c r="AG125" s="2">
        <f>AVERAGE(All_India_Index_Upto_April23_CPI_data[[#This Row],[Personal care and effects]],All_India_Index_Upto_April23_CPI_data[[#This Row],[Health]])</f>
        <v>123.05000000000001</v>
      </c>
      <c r="AH125" s="2">
        <f>AVERAGE(All_India_Index_Upto_April23_CPI_data[[#This Row],[Clothing]:[Clothing and footwear]])</f>
        <v>134.5</v>
      </c>
      <c r="AI125" s="2">
        <v>131.9</v>
      </c>
      <c r="AJ125" s="1">
        <f>(All_India_Index_Upto_April23_CPI_data[[#This Row],[General index]]-AI122)/AI122</f>
        <v>1.2279355333844928E-2</v>
      </c>
    </row>
    <row r="126" spans="1:36" x14ac:dyDescent="0.25">
      <c r="A126" t="s">
        <v>32</v>
      </c>
      <c r="B126">
        <v>2016</v>
      </c>
      <c r="C126" t="s">
        <v>38</v>
      </c>
      <c r="D126" s="2">
        <v>125.9</v>
      </c>
      <c r="E126" s="2">
        <v>143.9</v>
      </c>
      <c r="F126" s="2">
        <v>130.9</v>
      </c>
      <c r="G126" s="2">
        <v>131</v>
      </c>
      <c r="H126" s="2">
        <v>110.2</v>
      </c>
      <c r="I126" s="2">
        <v>135.5</v>
      </c>
      <c r="J126" s="2">
        <v>173.7</v>
      </c>
      <c r="K126" s="2">
        <v>184.4</v>
      </c>
      <c r="L126" s="2">
        <v>112</v>
      </c>
      <c r="M126" s="2">
        <v>142.80000000000001</v>
      </c>
      <c r="N126" s="2">
        <v>121.6</v>
      </c>
      <c r="O126" s="2">
        <v>136.9</v>
      </c>
      <c r="P126" s="2">
        <v>138.19999999999999</v>
      </c>
      <c r="Q126" s="2">
        <v>142.69999999999999</v>
      </c>
      <c r="R126" s="2">
        <v>127.6</v>
      </c>
      <c r="S126" s="2">
        <v>121.1</v>
      </c>
      <c r="T126" s="2">
        <v>126.6</v>
      </c>
      <c r="U126" s="2">
        <v>125.5</v>
      </c>
      <c r="V126" s="2">
        <v>115.5</v>
      </c>
      <c r="W126" s="2">
        <v>123.2</v>
      </c>
      <c r="X126" s="2">
        <v>120.6</v>
      </c>
      <c r="Y126" s="2">
        <v>112.3</v>
      </c>
      <c r="Z126" s="2">
        <v>119.9</v>
      </c>
      <c r="AA126" s="2">
        <v>129.30000000000001</v>
      </c>
      <c r="AB126" s="2">
        <v>118.8</v>
      </c>
      <c r="AC126" s="2">
        <v>119.6</v>
      </c>
      <c r="AD126" s="2">
        <f>AVERAGE(All_India_Index_Upto_April23_CPI_data[[#This Row],[Cereals and products]:[Food and beverages]])</f>
        <v>137.46153846153848</v>
      </c>
      <c r="AE126" s="2">
        <f>AVERAGE(All_India_Index_Upto_April23_CPI_data[[#This Row],[Recreation and amusement]],All_India_Index_Upto_April23_CPI_data[[#This Row],[Pan, tobacco and intoxicants]])</f>
        <v>131.30000000000001</v>
      </c>
      <c r="AF126" s="2">
        <f>AVERAGE(All_India_Index_Upto_April23_CPI_data[[#This Row],[Household goods and services]],All_India_Index_Upto_April23_CPI_data[[#This Row],[Housing]])</f>
        <v>124.35</v>
      </c>
      <c r="AG126" s="2">
        <f>AVERAGE(All_India_Index_Upto_April23_CPI_data[[#This Row],[Personal care and effects]],All_India_Index_Upto_April23_CPI_data[[#This Row],[Health]])</f>
        <v>119.69999999999999</v>
      </c>
      <c r="AH126" s="2">
        <f>AVERAGE(All_India_Index_Upto_April23_CPI_data[[#This Row],[Clothing]:[Clothing and footwear]])</f>
        <v>125.09999999999998</v>
      </c>
      <c r="AI126" s="2">
        <v>128.1</v>
      </c>
      <c r="AJ126" s="1">
        <f>(All_India_Index_Upto_April23_CPI_data[[#This Row],[General index]]-AI123)/AI123</f>
        <v>1.1848341232227489E-2</v>
      </c>
    </row>
    <row r="127" spans="1:36" x14ac:dyDescent="0.25">
      <c r="A127" t="s">
        <v>33</v>
      </c>
      <c r="B127">
        <v>2016</v>
      </c>
      <c r="C127" t="s">
        <v>38</v>
      </c>
      <c r="D127" s="2">
        <v>127.7</v>
      </c>
      <c r="E127" s="2">
        <v>140.5</v>
      </c>
      <c r="F127" s="2">
        <v>128.30000000000001</v>
      </c>
      <c r="G127" s="2">
        <v>132.6</v>
      </c>
      <c r="H127" s="2">
        <v>115.5</v>
      </c>
      <c r="I127" s="2">
        <v>136.5</v>
      </c>
      <c r="J127" s="2">
        <v>159.69999999999999</v>
      </c>
      <c r="K127" s="2">
        <v>174.3</v>
      </c>
      <c r="L127" s="2">
        <v>109.9</v>
      </c>
      <c r="M127" s="2">
        <v>136.30000000000001</v>
      </c>
      <c r="N127" s="2">
        <v>124.4</v>
      </c>
      <c r="O127" s="2">
        <v>138.1</v>
      </c>
      <c r="P127" s="2">
        <v>136.80000000000001</v>
      </c>
      <c r="Q127" s="2">
        <v>138.69999999999999</v>
      </c>
      <c r="R127" s="2">
        <v>132.9</v>
      </c>
      <c r="S127" s="2">
        <v>127.2</v>
      </c>
      <c r="T127" s="2">
        <v>132</v>
      </c>
      <c r="U127" s="2">
        <v>125.5</v>
      </c>
      <c r="V127" s="2">
        <v>123.3</v>
      </c>
      <c r="W127" s="2">
        <v>126.4</v>
      </c>
      <c r="X127" s="2">
        <v>124.1</v>
      </c>
      <c r="Y127" s="2">
        <v>114.2</v>
      </c>
      <c r="Z127" s="2">
        <v>121.7</v>
      </c>
      <c r="AA127" s="2">
        <v>129.69999999999999</v>
      </c>
      <c r="AB127" s="2">
        <v>119.4</v>
      </c>
      <c r="AC127" s="2">
        <v>121.5</v>
      </c>
      <c r="AD127" s="2">
        <f>AVERAGE(All_India_Index_Upto_April23_CPI_data[[#This Row],[Cereals and products]:[Food and beverages]])</f>
        <v>135.43076923076922</v>
      </c>
      <c r="AE127" s="2">
        <f>AVERAGE(All_India_Index_Upto_April23_CPI_data[[#This Row],[Recreation and amusement]],All_India_Index_Upto_April23_CPI_data[[#This Row],[Pan, tobacco and intoxicants]])</f>
        <v>130.19999999999999</v>
      </c>
      <c r="AF127" s="2">
        <f>AVERAGE(All_India_Index_Upto_April23_CPI_data[[#This Row],[Household goods and services]],All_India_Index_Upto_April23_CPI_data[[#This Row],[Housing]])</f>
        <v>125.95</v>
      </c>
      <c r="AG127" s="2">
        <f>AVERAGE(All_India_Index_Upto_April23_CPI_data[[#This Row],[Personal care and effects]],All_India_Index_Upto_April23_CPI_data[[#This Row],[Health]])</f>
        <v>121.75</v>
      </c>
      <c r="AH127" s="2">
        <f>AVERAGE(All_India_Index_Upto_April23_CPI_data[[#This Row],[Clothing]:[Clothing and footwear]])</f>
        <v>130.70000000000002</v>
      </c>
      <c r="AI127" s="2">
        <v>130.1</v>
      </c>
      <c r="AJ127" s="1">
        <f>(All_India_Index_Upto_April23_CPI_data[[#This Row],[General index]]-AI124)/AI124</f>
        <v>1.1664074650077761E-2</v>
      </c>
    </row>
    <row r="128" spans="1:36" x14ac:dyDescent="0.25">
      <c r="A128" t="s">
        <v>30</v>
      </c>
      <c r="B128">
        <v>2016</v>
      </c>
      <c r="C128" t="s">
        <v>39</v>
      </c>
      <c r="D128" s="2">
        <v>129.30000000000001</v>
      </c>
      <c r="E128" s="2">
        <v>139.5</v>
      </c>
      <c r="F128" s="2">
        <v>129.6</v>
      </c>
      <c r="G128" s="2">
        <v>134.5</v>
      </c>
      <c r="H128" s="2">
        <v>119.5</v>
      </c>
      <c r="I128" s="2">
        <v>138.5</v>
      </c>
      <c r="J128" s="2">
        <v>158.19999999999999</v>
      </c>
      <c r="K128" s="2">
        <v>171.8</v>
      </c>
      <c r="L128" s="2">
        <v>110.3</v>
      </c>
      <c r="M128" s="2">
        <v>134.30000000000001</v>
      </c>
      <c r="N128" s="2">
        <v>127.3</v>
      </c>
      <c r="O128" s="2">
        <v>139.9</v>
      </c>
      <c r="P128" s="2">
        <v>137.6</v>
      </c>
      <c r="Q128" s="2">
        <v>138</v>
      </c>
      <c r="R128" s="2">
        <v>137.19999999999999</v>
      </c>
      <c r="S128" s="2">
        <v>132.19999999999999</v>
      </c>
      <c r="T128" s="2">
        <v>136.5</v>
      </c>
      <c r="U128" s="2">
        <v>0</v>
      </c>
      <c r="V128" s="2">
        <v>128.19999999999999</v>
      </c>
      <c r="W128" s="2">
        <v>130</v>
      </c>
      <c r="X128" s="2">
        <v>126.7</v>
      </c>
      <c r="Y128" s="2">
        <v>116.4</v>
      </c>
      <c r="Z128" s="2">
        <v>125.2</v>
      </c>
      <c r="AA128" s="2">
        <v>130.80000000000001</v>
      </c>
      <c r="AB128" s="2">
        <v>120.9</v>
      </c>
      <c r="AC128" s="2">
        <v>123.8</v>
      </c>
      <c r="AD128" s="2">
        <f>AVERAGE(All_India_Index_Upto_April23_CPI_data[[#This Row],[Cereals and products]:[Food and beverages]])</f>
        <v>136.17692307692306</v>
      </c>
      <c r="AE128" s="2">
        <f>AVERAGE(All_India_Index_Upto_April23_CPI_data[[#This Row],[Recreation and amusement]],All_India_Index_Upto_April23_CPI_data[[#This Row],[Pan, tobacco and intoxicants]])</f>
        <v>131.6</v>
      </c>
      <c r="AF128" s="2">
        <f>AVERAGE(All_India_Index_Upto_April23_CPI_data[[#This Row],[Household goods and services]],All_India_Index_Upto_April23_CPI_data[[#This Row],[Housing]])</f>
        <v>65</v>
      </c>
      <c r="AG128" s="2">
        <f>AVERAGE(All_India_Index_Upto_April23_CPI_data[[#This Row],[Personal care and effects]],All_India_Index_Upto_April23_CPI_data[[#This Row],[Health]])</f>
        <v>123.80000000000001</v>
      </c>
      <c r="AH128" s="2">
        <f>AVERAGE(All_India_Index_Upto_April23_CPI_data[[#This Row],[Clothing]:[Clothing and footwear]])</f>
        <v>135.29999999999998</v>
      </c>
      <c r="AI128" s="2">
        <v>133</v>
      </c>
      <c r="AJ128" s="1">
        <f>(All_India_Index_Upto_April23_CPI_data[[#This Row],[General index]]-AI125)/AI125</f>
        <v>8.3396512509476446E-3</v>
      </c>
    </row>
    <row r="129" spans="1:36" x14ac:dyDescent="0.25">
      <c r="A129" t="s">
        <v>32</v>
      </c>
      <c r="B129">
        <v>2016</v>
      </c>
      <c r="C129" t="s">
        <v>39</v>
      </c>
      <c r="D129" s="2">
        <v>126.8</v>
      </c>
      <c r="E129" s="2">
        <v>144.19999999999999</v>
      </c>
      <c r="F129" s="2">
        <v>136.6</v>
      </c>
      <c r="G129" s="2">
        <v>131.80000000000001</v>
      </c>
      <c r="H129" s="2">
        <v>111</v>
      </c>
      <c r="I129" s="2">
        <v>137</v>
      </c>
      <c r="J129" s="2">
        <v>179.5</v>
      </c>
      <c r="K129" s="2">
        <v>188.4</v>
      </c>
      <c r="L129" s="2">
        <v>113.3</v>
      </c>
      <c r="M129" s="2">
        <v>143.9</v>
      </c>
      <c r="N129" s="2">
        <v>121.7</v>
      </c>
      <c r="O129" s="2">
        <v>137.5</v>
      </c>
      <c r="P129" s="2">
        <v>139.80000000000001</v>
      </c>
      <c r="Q129" s="2">
        <v>142.9</v>
      </c>
      <c r="R129" s="2">
        <v>127.9</v>
      </c>
      <c r="S129" s="2">
        <v>121.1</v>
      </c>
      <c r="T129" s="2">
        <v>126.9</v>
      </c>
      <c r="U129" s="2">
        <v>126.4</v>
      </c>
      <c r="V129" s="2">
        <v>115.5</v>
      </c>
      <c r="W129" s="2">
        <v>123.5</v>
      </c>
      <c r="X129" s="2">
        <v>120.9</v>
      </c>
      <c r="Y129" s="2">
        <v>111.7</v>
      </c>
      <c r="Z129" s="2">
        <v>120.3</v>
      </c>
      <c r="AA129" s="2">
        <v>130.80000000000001</v>
      </c>
      <c r="AB129" s="2">
        <v>120</v>
      </c>
      <c r="AC129" s="2">
        <v>119.9</v>
      </c>
      <c r="AD129" s="2">
        <f>AVERAGE(All_India_Index_Upto_April23_CPI_data[[#This Row],[Cereals and products]:[Food and beverages]])</f>
        <v>139.34615384615387</v>
      </c>
      <c r="AE129" s="2">
        <f>AVERAGE(All_India_Index_Upto_April23_CPI_data[[#This Row],[Recreation and amusement]],All_India_Index_Upto_April23_CPI_data[[#This Row],[Pan, tobacco and intoxicants]])</f>
        <v>131.6</v>
      </c>
      <c r="AF129" s="2">
        <f>AVERAGE(All_India_Index_Upto_April23_CPI_data[[#This Row],[Household goods and services]],All_India_Index_Upto_April23_CPI_data[[#This Row],[Housing]])</f>
        <v>124.95</v>
      </c>
      <c r="AG129" s="2">
        <f>AVERAGE(All_India_Index_Upto_April23_CPI_data[[#This Row],[Personal care and effects]],All_India_Index_Upto_April23_CPI_data[[#This Row],[Health]])</f>
        <v>120.45</v>
      </c>
      <c r="AH129" s="2">
        <f>AVERAGE(All_India_Index_Upto_April23_CPI_data[[#This Row],[Clothing]:[Clothing and footwear]])</f>
        <v>125.3</v>
      </c>
      <c r="AI129" s="2">
        <v>129</v>
      </c>
      <c r="AJ129" s="1">
        <f>(All_India_Index_Upto_April23_CPI_data[[#This Row],[General index]]-AI126)/AI126</f>
        <v>7.025761124121825E-3</v>
      </c>
    </row>
    <row r="130" spans="1:36" x14ac:dyDescent="0.25">
      <c r="A130" t="s">
        <v>33</v>
      </c>
      <c r="B130">
        <v>2016</v>
      </c>
      <c r="C130" t="s">
        <v>39</v>
      </c>
      <c r="D130" s="2">
        <v>128.5</v>
      </c>
      <c r="E130" s="2">
        <v>141.19999999999999</v>
      </c>
      <c r="F130" s="2">
        <v>132.30000000000001</v>
      </c>
      <c r="G130" s="2">
        <v>133.5</v>
      </c>
      <c r="H130" s="2">
        <v>116.4</v>
      </c>
      <c r="I130" s="2">
        <v>137.80000000000001</v>
      </c>
      <c r="J130" s="2">
        <v>165.4</v>
      </c>
      <c r="K130" s="2">
        <v>177.4</v>
      </c>
      <c r="L130" s="2">
        <v>111.3</v>
      </c>
      <c r="M130" s="2">
        <v>137.5</v>
      </c>
      <c r="N130" s="2">
        <v>125</v>
      </c>
      <c r="O130" s="2">
        <v>138.80000000000001</v>
      </c>
      <c r="P130" s="2">
        <v>138.4</v>
      </c>
      <c r="Q130" s="2">
        <v>139.30000000000001</v>
      </c>
      <c r="R130" s="2">
        <v>133.5</v>
      </c>
      <c r="S130" s="2">
        <v>127.6</v>
      </c>
      <c r="T130" s="2">
        <v>132.69999999999999</v>
      </c>
      <c r="U130" s="2">
        <v>126.4</v>
      </c>
      <c r="V130" s="2">
        <v>123.4</v>
      </c>
      <c r="W130" s="2">
        <v>126.9</v>
      </c>
      <c r="X130" s="2">
        <v>124.5</v>
      </c>
      <c r="Y130" s="2">
        <v>113.9</v>
      </c>
      <c r="Z130" s="2">
        <v>122.4</v>
      </c>
      <c r="AA130" s="2">
        <v>130.80000000000001</v>
      </c>
      <c r="AB130" s="2">
        <v>120.5</v>
      </c>
      <c r="AC130" s="2">
        <v>121.9</v>
      </c>
      <c r="AD130" s="2">
        <f>AVERAGE(All_India_Index_Upto_April23_CPI_data[[#This Row],[Cereals and products]:[Food and beverages]])</f>
        <v>137.19230769230768</v>
      </c>
      <c r="AE130" s="2">
        <f>AVERAGE(All_India_Index_Upto_April23_CPI_data[[#This Row],[Recreation and amusement]],All_India_Index_Upto_April23_CPI_data[[#This Row],[Pan, tobacco and intoxicants]])</f>
        <v>130.85000000000002</v>
      </c>
      <c r="AF130" s="2">
        <f>AVERAGE(All_India_Index_Upto_April23_CPI_data[[#This Row],[Household goods and services]],All_India_Index_Upto_April23_CPI_data[[#This Row],[Housing]])</f>
        <v>126.65</v>
      </c>
      <c r="AG130" s="2">
        <f>AVERAGE(All_India_Index_Upto_April23_CPI_data[[#This Row],[Personal care and effects]],All_India_Index_Upto_April23_CPI_data[[#This Row],[Health]])</f>
        <v>122.5</v>
      </c>
      <c r="AH130" s="2">
        <f>AVERAGE(All_India_Index_Upto_April23_CPI_data[[#This Row],[Clothing]:[Clothing and footwear]])</f>
        <v>131.26666666666668</v>
      </c>
      <c r="AI130" s="2">
        <v>131.1</v>
      </c>
      <c r="AJ130" s="1">
        <f>(All_India_Index_Upto_April23_CPI_data[[#This Row],[General index]]-AI127)/AI127</f>
        <v>7.6863950807071488E-3</v>
      </c>
    </row>
    <row r="131" spans="1:36" x14ac:dyDescent="0.25">
      <c r="A131" t="s">
        <v>30</v>
      </c>
      <c r="B131">
        <v>2016</v>
      </c>
      <c r="C131" t="s">
        <v>40</v>
      </c>
      <c r="D131" s="2">
        <v>130.1</v>
      </c>
      <c r="E131" s="2">
        <v>138.80000000000001</v>
      </c>
      <c r="F131" s="2">
        <v>130.30000000000001</v>
      </c>
      <c r="G131" s="2">
        <v>135.30000000000001</v>
      </c>
      <c r="H131" s="2">
        <v>119.9</v>
      </c>
      <c r="I131" s="2">
        <v>140.19999999999999</v>
      </c>
      <c r="J131" s="2">
        <v>156.9</v>
      </c>
      <c r="K131" s="2">
        <v>172.2</v>
      </c>
      <c r="L131" s="2">
        <v>112.1</v>
      </c>
      <c r="M131" s="2">
        <v>134.9</v>
      </c>
      <c r="N131" s="2">
        <v>128.1</v>
      </c>
      <c r="O131" s="2">
        <v>140.69999999999999</v>
      </c>
      <c r="P131" s="2">
        <v>138</v>
      </c>
      <c r="Q131" s="2">
        <v>138.9</v>
      </c>
      <c r="R131" s="2">
        <v>137.80000000000001</v>
      </c>
      <c r="S131" s="2">
        <v>133</v>
      </c>
      <c r="T131" s="2">
        <v>137.1</v>
      </c>
      <c r="U131" s="2">
        <v>0</v>
      </c>
      <c r="V131" s="2">
        <v>129.1</v>
      </c>
      <c r="W131" s="2">
        <v>130.6</v>
      </c>
      <c r="X131" s="2">
        <v>127</v>
      </c>
      <c r="Y131" s="2">
        <v>116</v>
      </c>
      <c r="Z131" s="2">
        <v>125.5</v>
      </c>
      <c r="AA131" s="2">
        <v>131.9</v>
      </c>
      <c r="AB131" s="2">
        <v>122</v>
      </c>
      <c r="AC131" s="2">
        <v>124.2</v>
      </c>
      <c r="AD131" s="2">
        <f>AVERAGE(All_India_Index_Upto_April23_CPI_data[[#This Row],[Cereals and products]:[Food and beverages]])</f>
        <v>136.73076923076923</v>
      </c>
      <c r="AE131" s="2">
        <f>AVERAGE(All_India_Index_Upto_April23_CPI_data[[#This Row],[Recreation and amusement]],All_India_Index_Upto_April23_CPI_data[[#This Row],[Pan, tobacco and intoxicants]])</f>
        <v>132.19999999999999</v>
      </c>
      <c r="AF131" s="2">
        <f>AVERAGE(All_India_Index_Upto_April23_CPI_data[[#This Row],[Household goods and services]],All_India_Index_Upto_April23_CPI_data[[#This Row],[Housing]])</f>
        <v>65.3</v>
      </c>
      <c r="AG131" s="2">
        <f>AVERAGE(All_India_Index_Upto_April23_CPI_data[[#This Row],[Personal care and effects]],All_India_Index_Upto_April23_CPI_data[[#This Row],[Health]])</f>
        <v>124.5</v>
      </c>
      <c r="AH131" s="2">
        <f>AVERAGE(All_India_Index_Upto_April23_CPI_data[[#This Row],[Clothing]:[Clothing and footwear]])</f>
        <v>135.96666666666667</v>
      </c>
      <c r="AI131" s="2">
        <v>133.5</v>
      </c>
      <c r="AJ131" s="1">
        <f>(All_India_Index_Upto_April23_CPI_data[[#This Row],[General index]]-AI128)/AI128</f>
        <v>3.7593984962406013E-3</v>
      </c>
    </row>
    <row r="132" spans="1:36" x14ac:dyDescent="0.25">
      <c r="A132" t="s">
        <v>32</v>
      </c>
      <c r="B132">
        <v>2016</v>
      </c>
      <c r="C132" t="s">
        <v>40</v>
      </c>
      <c r="D132" s="2">
        <v>127.6</v>
      </c>
      <c r="E132" s="2">
        <v>140.30000000000001</v>
      </c>
      <c r="F132" s="2">
        <v>133.69999999999999</v>
      </c>
      <c r="G132" s="2">
        <v>132.19999999999999</v>
      </c>
      <c r="H132" s="2">
        <v>111.8</v>
      </c>
      <c r="I132" s="2">
        <v>135.80000000000001</v>
      </c>
      <c r="J132" s="2">
        <v>163.5</v>
      </c>
      <c r="K132" s="2">
        <v>182.3</v>
      </c>
      <c r="L132" s="2">
        <v>114.6</v>
      </c>
      <c r="M132" s="2">
        <v>144.6</v>
      </c>
      <c r="N132" s="2">
        <v>121.9</v>
      </c>
      <c r="O132" s="2">
        <v>138.1</v>
      </c>
      <c r="P132" s="2">
        <v>137.6</v>
      </c>
      <c r="Q132" s="2">
        <v>143.6</v>
      </c>
      <c r="R132" s="2">
        <v>128.30000000000001</v>
      </c>
      <c r="S132" s="2">
        <v>121.4</v>
      </c>
      <c r="T132" s="2">
        <v>127.3</v>
      </c>
      <c r="U132" s="2">
        <v>127.3</v>
      </c>
      <c r="V132" s="2">
        <v>114.7</v>
      </c>
      <c r="W132" s="2">
        <v>123.9</v>
      </c>
      <c r="X132" s="2">
        <v>121.2</v>
      </c>
      <c r="Y132" s="2">
        <v>110.4</v>
      </c>
      <c r="Z132" s="2">
        <v>120.6</v>
      </c>
      <c r="AA132" s="2">
        <v>131.5</v>
      </c>
      <c r="AB132" s="2">
        <v>120.9</v>
      </c>
      <c r="AC132" s="2">
        <v>119.9</v>
      </c>
      <c r="AD132" s="2">
        <f>AVERAGE(All_India_Index_Upto_April23_CPI_data[[#This Row],[Cereals and products]:[Food and beverages]])</f>
        <v>137.2307692307692</v>
      </c>
      <c r="AE132" s="2">
        <f>AVERAGE(All_India_Index_Upto_April23_CPI_data[[#This Row],[Recreation and amusement]],All_India_Index_Upto_April23_CPI_data[[#This Row],[Pan, tobacco and intoxicants]])</f>
        <v>132.1</v>
      </c>
      <c r="AF132" s="2">
        <f>AVERAGE(All_India_Index_Upto_April23_CPI_data[[#This Row],[Household goods and services]],All_India_Index_Upto_April23_CPI_data[[#This Row],[Housing]])</f>
        <v>125.6</v>
      </c>
      <c r="AG132" s="2">
        <f>AVERAGE(All_India_Index_Upto_April23_CPI_data[[#This Row],[Personal care and effects]],All_India_Index_Upto_April23_CPI_data[[#This Row],[Health]])</f>
        <v>121.05000000000001</v>
      </c>
      <c r="AH132" s="2">
        <f>AVERAGE(All_India_Index_Upto_April23_CPI_data[[#This Row],[Clothing]:[Clothing and footwear]])</f>
        <v>125.66666666666667</v>
      </c>
      <c r="AI132" s="2">
        <v>128.4</v>
      </c>
      <c r="AJ132" s="1">
        <f>(All_India_Index_Upto_April23_CPI_data[[#This Row],[General index]]-AI129)/AI129</f>
        <v>-4.6511627906976301E-3</v>
      </c>
    </row>
    <row r="133" spans="1:36" x14ac:dyDescent="0.25">
      <c r="A133" t="s">
        <v>33</v>
      </c>
      <c r="B133">
        <v>2016</v>
      </c>
      <c r="C133" t="s">
        <v>40</v>
      </c>
      <c r="D133" s="2">
        <v>129.30000000000001</v>
      </c>
      <c r="E133" s="2">
        <v>139.30000000000001</v>
      </c>
      <c r="F133" s="2">
        <v>131.6</v>
      </c>
      <c r="G133" s="2">
        <v>134.1</v>
      </c>
      <c r="H133" s="2">
        <v>116.9</v>
      </c>
      <c r="I133" s="2">
        <v>138.1</v>
      </c>
      <c r="J133" s="2">
        <v>159.1</v>
      </c>
      <c r="K133" s="2">
        <v>175.6</v>
      </c>
      <c r="L133" s="2">
        <v>112.9</v>
      </c>
      <c r="M133" s="2">
        <v>138.1</v>
      </c>
      <c r="N133" s="2">
        <v>125.5</v>
      </c>
      <c r="O133" s="2">
        <v>139.5</v>
      </c>
      <c r="P133" s="2">
        <v>137.9</v>
      </c>
      <c r="Q133" s="2">
        <v>140.19999999999999</v>
      </c>
      <c r="R133" s="2">
        <v>134.1</v>
      </c>
      <c r="S133" s="2">
        <v>128.19999999999999</v>
      </c>
      <c r="T133" s="2">
        <v>133.19999999999999</v>
      </c>
      <c r="U133" s="2">
        <v>127.3</v>
      </c>
      <c r="V133" s="2">
        <v>123.6</v>
      </c>
      <c r="W133" s="2">
        <v>127.4</v>
      </c>
      <c r="X133" s="2">
        <v>124.8</v>
      </c>
      <c r="Y133" s="2">
        <v>113.1</v>
      </c>
      <c r="Z133" s="2">
        <v>122.7</v>
      </c>
      <c r="AA133" s="2">
        <v>131.69999999999999</v>
      </c>
      <c r="AB133" s="2">
        <v>121.5</v>
      </c>
      <c r="AC133" s="2">
        <v>122.1</v>
      </c>
      <c r="AD133" s="2">
        <f>AVERAGE(All_India_Index_Upto_April23_CPI_data[[#This Row],[Cereals and products]:[Food and beverages]])</f>
        <v>136.76153846153846</v>
      </c>
      <c r="AE133" s="2">
        <f>AVERAGE(All_India_Index_Upto_April23_CPI_data[[#This Row],[Recreation and amusement]],All_India_Index_Upto_April23_CPI_data[[#This Row],[Pan, tobacco and intoxicants]])</f>
        <v>131.44999999999999</v>
      </c>
      <c r="AF133" s="2">
        <f>AVERAGE(All_India_Index_Upto_April23_CPI_data[[#This Row],[Household goods and services]],All_India_Index_Upto_April23_CPI_data[[#This Row],[Housing]])</f>
        <v>127.35</v>
      </c>
      <c r="AG133" s="2">
        <f>AVERAGE(All_India_Index_Upto_April23_CPI_data[[#This Row],[Personal care and effects]],All_India_Index_Upto_April23_CPI_data[[#This Row],[Health]])</f>
        <v>123.15</v>
      </c>
      <c r="AH133" s="2">
        <f>AVERAGE(All_India_Index_Upto_April23_CPI_data[[#This Row],[Clothing]:[Clothing and footwear]])</f>
        <v>131.83333333333331</v>
      </c>
      <c r="AI133" s="2">
        <v>131.1</v>
      </c>
      <c r="AJ133" s="1">
        <f>(All_India_Index_Upto_April23_CPI_data[[#This Row],[General index]]-AI130)/AI130</f>
        <v>0</v>
      </c>
    </row>
    <row r="134" spans="1:36" x14ac:dyDescent="0.25">
      <c r="A134" t="s">
        <v>30</v>
      </c>
      <c r="B134">
        <v>2016</v>
      </c>
      <c r="C134" t="s">
        <v>41</v>
      </c>
      <c r="D134" s="2">
        <v>130.80000000000001</v>
      </c>
      <c r="E134" s="2">
        <v>138.19999999999999</v>
      </c>
      <c r="F134" s="2">
        <v>130.5</v>
      </c>
      <c r="G134" s="2">
        <v>135.5</v>
      </c>
      <c r="H134" s="2">
        <v>120.2</v>
      </c>
      <c r="I134" s="2">
        <v>139.19999999999999</v>
      </c>
      <c r="J134" s="2">
        <v>149.5</v>
      </c>
      <c r="K134" s="2">
        <v>170.4</v>
      </c>
      <c r="L134" s="2">
        <v>113.1</v>
      </c>
      <c r="M134" s="2">
        <v>135.80000000000001</v>
      </c>
      <c r="N134" s="2">
        <v>128.80000000000001</v>
      </c>
      <c r="O134" s="2">
        <v>141.5</v>
      </c>
      <c r="P134" s="2">
        <v>137.19999999999999</v>
      </c>
      <c r="Q134" s="2">
        <v>139.9</v>
      </c>
      <c r="R134" s="2">
        <v>138.5</v>
      </c>
      <c r="S134" s="2">
        <v>133.5</v>
      </c>
      <c r="T134" s="2">
        <v>137.80000000000001</v>
      </c>
      <c r="U134" s="2">
        <v>0</v>
      </c>
      <c r="V134" s="2">
        <v>129.69999999999999</v>
      </c>
      <c r="W134" s="2">
        <v>131.1</v>
      </c>
      <c r="X134" s="2">
        <v>127.8</v>
      </c>
      <c r="Y134" s="2">
        <v>117</v>
      </c>
      <c r="Z134" s="2">
        <v>125.7</v>
      </c>
      <c r="AA134" s="2">
        <v>132.19999999999999</v>
      </c>
      <c r="AB134" s="2">
        <v>122.8</v>
      </c>
      <c r="AC134" s="2">
        <v>124.9</v>
      </c>
      <c r="AD134" s="2">
        <f>AVERAGE(All_India_Index_Upto_April23_CPI_data[[#This Row],[Cereals and products]:[Food and beverages]])</f>
        <v>136.2076923076923</v>
      </c>
      <c r="AE134" s="2">
        <f>AVERAGE(All_India_Index_Upto_April23_CPI_data[[#This Row],[Recreation and amusement]],All_India_Index_Upto_April23_CPI_data[[#This Row],[Pan, tobacco and intoxicants]])</f>
        <v>132.80000000000001</v>
      </c>
      <c r="AF134" s="2">
        <f>AVERAGE(All_India_Index_Upto_April23_CPI_data[[#This Row],[Household goods and services]],All_India_Index_Upto_April23_CPI_data[[#This Row],[Housing]])</f>
        <v>65.55</v>
      </c>
      <c r="AG134" s="2">
        <f>AVERAGE(All_India_Index_Upto_April23_CPI_data[[#This Row],[Personal care and effects]],All_India_Index_Upto_April23_CPI_data[[#This Row],[Health]])</f>
        <v>125.3</v>
      </c>
      <c r="AH134" s="2">
        <f>AVERAGE(All_India_Index_Upto_April23_CPI_data[[#This Row],[Clothing]:[Clothing and footwear]])</f>
        <v>136.6</v>
      </c>
      <c r="AI134" s="2">
        <v>133.4</v>
      </c>
      <c r="AJ134" s="1">
        <f>(All_India_Index_Upto_April23_CPI_data[[#This Row],[General index]]-AI131)/AI131</f>
        <v>-7.4906367041194244E-4</v>
      </c>
    </row>
    <row r="135" spans="1:36" x14ac:dyDescent="0.25">
      <c r="A135" t="s">
        <v>32</v>
      </c>
      <c r="B135">
        <v>2016</v>
      </c>
      <c r="C135" t="s">
        <v>41</v>
      </c>
      <c r="D135" s="2">
        <v>128.1</v>
      </c>
      <c r="E135" s="2">
        <v>137.69999999999999</v>
      </c>
      <c r="F135" s="2">
        <v>130.6</v>
      </c>
      <c r="G135" s="2">
        <v>132.6</v>
      </c>
      <c r="H135" s="2">
        <v>111.9</v>
      </c>
      <c r="I135" s="2">
        <v>132.5</v>
      </c>
      <c r="J135" s="2">
        <v>152.9</v>
      </c>
      <c r="K135" s="2">
        <v>173.6</v>
      </c>
      <c r="L135" s="2">
        <v>115.1</v>
      </c>
      <c r="M135" s="2">
        <v>144.80000000000001</v>
      </c>
      <c r="N135" s="2">
        <v>122.1</v>
      </c>
      <c r="O135" s="2">
        <v>138.80000000000001</v>
      </c>
      <c r="P135" s="2">
        <v>135.69999999999999</v>
      </c>
      <c r="Q135" s="2">
        <v>143.9</v>
      </c>
      <c r="R135" s="2">
        <v>128.69999999999999</v>
      </c>
      <c r="S135" s="2">
        <v>121.6</v>
      </c>
      <c r="T135" s="2">
        <v>127.7</v>
      </c>
      <c r="U135" s="2">
        <v>127.9</v>
      </c>
      <c r="V135" s="2">
        <v>114.8</v>
      </c>
      <c r="W135" s="2">
        <v>124.3</v>
      </c>
      <c r="X135" s="2">
        <v>121.4</v>
      </c>
      <c r="Y135" s="2">
        <v>111.8</v>
      </c>
      <c r="Z135" s="2">
        <v>120.8</v>
      </c>
      <c r="AA135" s="2">
        <v>131.6</v>
      </c>
      <c r="AB135" s="2">
        <v>121.2</v>
      </c>
      <c r="AC135" s="2">
        <v>120.5</v>
      </c>
      <c r="AD135" s="2">
        <f>AVERAGE(All_India_Index_Upto_April23_CPI_data[[#This Row],[Cereals and products]:[Food and beverages]])</f>
        <v>135.10769230769228</v>
      </c>
      <c r="AE135" s="2">
        <f>AVERAGE(All_India_Index_Upto_April23_CPI_data[[#This Row],[Recreation and amusement]],All_India_Index_Upto_April23_CPI_data[[#This Row],[Pan, tobacco and intoxicants]])</f>
        <v>132.35</v>
      </c>
      <c r="AF135" s="2">
        <f>AVERAGE(All_India_Index_Upto_April23_CPI_data[[#This Row],[Household goods and services]],All_India_Index_Upto_April23_CPI_data[[#This Row],[Housing]])</f>
        <v>126.1</v>
      </c>
      <c r="AG135" s="2">
        <f>AVERAGE(All_India_Index_Upto_April23_CPI_data[[#This Row],[Personal care and effects]],All_India_Index_Upto_April23_CPI_data[[#This Row],[Health]])</f>
        <v>121.30000000000001</v>
      </c>
      <c r="AH135" s="2">
        <f>AVERAGE(All_India_Index_Upto_April23_CPI_data[[#This Row],[Clothing]:[Clothing and footwear]])</f>
        <v>126</v>
      </c>
      <c r="AI135" s="2">
        <v>128</v>
      </c>
      <c r="AJ135" s="1">
        <f>(All_India_Index_Upto_April23_CPI_data[[#This Row],[General index]]-AI132)/AI132</f>
        <v>-3.1152647975078323E-3</v>
      </c>
    </row>
    <row r="136" spans="1:36" x14ac:dyDescent="0.25">
      <c r="A136" t="s">
        <v>33</v>
      </c>
      <c r="B136">
        <v>2016</v>
      </c>
      <c r="C136" t="s">
        <v>41</v>
      </c>
      <c r="D136" s="2">
        <v>129.9</v>
      </c>
      <c r="E136" s="2">
        <v>138</v>
      </c>
      <c r="F136" s="2">
        <v>130.5</v>
      </c>
      <c r="G136" s="2">
        <v>134.4</v>
      </c>
      <c r="H136" s="2">
        <v>117.2</v>
      </c>
      <c r="I136" s="2">
        <v>136.1</v>
      </c>
      <c r="J136" s="2">
        <v>150.69999999999999</v>
      </c>
      <c r="K136" s="2">
        <v>171.5</v>
      </c>
      <c r="L136" s="2">
        <v>113.8</v>
      </c>
      <c r="M136" s="2">
        <v>138.80000000000001</v>
      </c>
      <c r="N136" s="2">
        <v>126</v>
      </c>
      <c r="O136" s="2">
        <v>140.19999999999999</v>
      </c>
      <c r="P136" s="2">
        <v>136.6</v>
      </c>
      <c r="Q136" s="2">
        <v>141</v>
      </c>
      <c r="R136" s="2">
        <v>134.6</v>
      </c>
      <c r="S136" s="2">
        <v>128.6</v>
      </c>
      <c r="T136" s="2">
        <v>133.80000000000001</v>
      </c>
      <c r="U136" s="2">
        <v>127.9</v>
      </c>
      <c r="V136" s="2">
        <v>124.1</v>
      </c>
      <c r="W136" s="2">
        <v>127.9</v>
      </c>
      <c r="X136" s="2">
        <v>125.4</v>
      </c>
      <c r="Y136" s="2">
        <v>114.3</v>
      </c>
      <c r="Z136" s="2">
        <v>122.9</v>
      </c>
      <c r="AA136" s="2">
        <v>131.80000000000001</v>
      </c>
      <c r="AB136" s="2">
        <v>122.1</v>
      </c>
      <c r="AC136" s="2">
        <v>122.8</v>
      </c>
      <c r="AD136" s="2">
        <f>AVERAGE(All_India_Index_Upto_April23_CPI_data[[#This Row],[Cereals and products]:[Food and beverages]])</f>
        <v>135.66923076923075</v>
      </c>
      <c r="AE136" s="2">
        <f>AVERAGE(All_India_Index_Upto_April23_CPI_data[[#This Row],[Recreation and amusement]],All_India_Index_Upto_April23_CPI_data[[#This Row],[Pan, tobacco and intoxicants]])</f>
        <v>131.94999999999999</v>
      </c>
      <c r="AF136" s="2">
        <f>AVERAGE(All_India_Index_Upto_April23_CPI_data[[#This Row],[Household goods and services]],All_India_Index_Upto_April23_CPI_data[[#This Row],[Housing]])</f>
        <v>127.9</v>
      </c>
      <c r="AG136" s="2">
        <f>AVERAGE(All_India_Index_Upto_April23_CPI_data[[#This Row],[Personal care and effects]],All_India_Index_Upto_April23_CPI_data[[#This Row],[Health]])</f>
        <v>123.75</v>
      </c>
      <c r="AH136" s="2">
        <f>AVERAGE(All_India_Index_Upto_April23_CPI_data[[#This Row],[Clothing]:[Clothing and footwear]])</f>
        <v>132.33333333333334</v>
      </c>
      <c r="AI136" s="2">
        <v>130.9</v>
      </c>
      <c r="AJ136" s="1">
        <f>(All_India_Index_Upto_April23_CPI_data[[#This Row],[General index]]-AI133)/AI133</f>
        <v>-1.5255530129671139E-3</v>
      </c>
    </row>
    <row r="137" spans="1:36" x14ac:dyDescent="0.25">
      <c r="A137" t="s">
        <v>30</v>
      </c>
      <c r="B137">
        <v>2016</v>
      </c>
      <c r="C137" t="s">
        <v>42</v>
      </c>
      <c r="D137" s="2">
        <v>131.30000000000001</v>
      </c>
      <c r="E137" s="2">
        <v>137.6</v>
      </c>
      <c r="F137" s="2">
        <v>130.1</v>
      </c>
      <c r="G137" s="2">
        <v>136</v>
      </c>
      <c r="H137" s="2">
        <v>120.8</v>
      </c>
      <c r="I137" s="2">
        <v>138.4</v>
      </c>
      <c r="J137" s="2">
        <v>149.19999999999999</v>
      </c>
      <c r="K137" s="2">
        <v>170.2</v>
      </c>
      <c r="L137" s="2">
        <v>113.4</v>
      </c>
      <c r="M137" s="2">
        <v>136.30000000000001</v>
      </c>
      <c r="N137" s="2">
        <v>128.69999999999999</v>
      </c>
      <c r="O137" s="2">
        <v>142.4</v>
      </c>
      <c r="P137" s="2">
        <v>137.4</v>
      </c>
      <c r="Q137" s="2">
        <v>140.9</v>
      </c>
      <c r="R137" s="2">
        <v>139.6</v>
      </c>
      <c r="S137" s="2">
        <v>134.30000000000001</v>
      </c>
      <c r="T137" s="2">
        <v>138.80000000000001</v>
      </c>
      <c r="U137" s="2">
        <v>0</v>
      </c>
      <c r="V137" s="2">
        <v>129.80000000000001</v>
      </c>
      <c r="W137" s="2">
        <v>131.80000000000001</v>
      </c>
      <c r="X137" s="2">
        <v>128.69999999999999</v>
      </c>
      <c r="Y137" s="2">
        <v>117.8</v>
      </c>
      <c r="Z137" s="2">
        <v>126.5</v>
      </c>
      <c r="AA137" s="2">
        <v>133</v>
      </c>
      <c r="AB137" s="2">
        <v>123</v>
      </c>
      <c r="AC137" s="2">
        <v>125.7</v>
      </c>
      <c r="AD137" s="2">
        <f>AVERAGE(All_India_Index_Upto_April23_CPI_data[[#This Row],[Cereals and products]:[Food and beverages]])</f>
        <v>136.2923076923077</v>
      </c>
      <c r="AE137" s="2">
        <f>AVERAGE(All_India_Index_Upto_April23_CPI_data[[#This Row],[Recreation and amusement]],All_India_Index_Upto_April23_CPI_data[[#This Row],[Pan, tobacco and intoxicants]])</f>
        <v>133.69999999999999</v>
      </c>
      <c r="AF137" s="2">
        <f>AVERAGE(All_India_Index_Upto_April23_CPI_data[[#This Row],[Household goods and services]],All_India_Index_Upto_April23_CPI_data[[#This Row],[Housing]])</f>
        <v>65.900000000000006</v>
      </c>
      <c r="AG137" s="2">
        <f>AVERAGE(All_India_Index_Upto_April23_CPI_data[[#This Row],[Personal care and effects]],All_India_Index_Upto_April23_CPI_data[[#This Row],[Health]])</f>
        <v>125.85</v>
      </c>
      <c r="AH137" s="2">
        <f>AVERAGE(All_India_Index_Upto_April23_CPI_data[[#This Row],[Clothing]:[Clothing and footwear]])</f>
        <v>137.56666666666666</v>
      </c>
      <c r="AI137" s="2">
        <v>133.80000000000001</v>
      </c>
      <c r="AJ137" s="1">
        <f>(All_India_Index_Upto_April23_CPI_data[[#This Row],[General index]]-AI134)/AI134</f>
        <v>2.9985007496252298E-3</v>
      </c>
    </row>
    <row r="138" spans="1:36" x14ac:dyDescent="0.25">
      <c r="A138" t="s">
        <v>32</v>
      </c>
      <c r="B138">
        <v>2016</v>
      </c>
      <c r="C138" t="s">
        <v>42</v>
      </c>
      <c r="D138" s="2">
        <v>128.69999999999999</v>
      </c>
      <c r="E138" s="2">
        <v>138.4</v>
      </c>
      <c r="F138" s="2">
        <v>130.30000000000001</v>
      </c>
      <c r="G138" s="2">
        <v>132.69999999999999</v>
      </c>
      <c r="H138" s="2">
        <v>112.5</v>
      </c>
      <c r="I138" s="2">
        <v>130.4</v>
      </c>
      <c r="J138" s="2">
        <v>155.1</v>
      </c>
      <c r="K138" s="2">
        <v>175.7</v>
      </c>
      <c r="L138" s="2">
        <v>115.4</v>
      </c>
      <c r="M138" s="2">
        <v>145.30000000000001</v>
      </c>
      <c r="N138" s="2">
        <v>122.5</v>
      </c>
      <c r="O138" s="2">
        <v>139.6</v>
      </c>
      <c r="P138" s="2">
        <v>136.30000000000001</v>
      </c>
      <c r="Q138" s="2">
        <v>144.30000000000001</v>
      </c>
      <c r="R138" s="2">
        <v>129.1</v>
      </c>
      <c r="S138" s="2">
        <v>121.9</v>
      </c>
      <c r="T138" s="2">
        <v>128</v>
      </c>
      <c r="U138" s="2">
        <v>128.69999999999999</v>
      </c>
      <c r="V138" s="2">
        <v>115.2</v>
      </c>
      <c r="W138" s="2">
        <v>124.5</v>
      </c>
      <c r="X138" s="2">
        <v>121.8</v>
      </c>
      <c r="Y138" s="2">
        <v>112.8</v>
      </c>
      <c r="Z138" s="2">
        <v>121.2</v>
      </c>
      <c r="AA138" s="2">
        <v>131.9</v>
      </c>
      <c r="AB138" s="2">
        <v>120.8</v>
      </c>
      <c r="AC138" s="2">
        <v>120.9</v>
      </c>
      <c r="AD138" s="2">
        <f>AVERAGE(All_India_Index_Upto_April23_CPI_data[[#This Row],[Cereals and products]:[Food and beverages]])</f>
        <v>135.6076923076923</v>
      </c>
      <c r="AE138" s="2">
        <f>AVERAGE(All_India_Index_Upto_April23_CPI_data[[#This Row],[Recreation and amusement]],All_India_Index_Upto_April23_CPI_data[[#This Row],[Pan, tobacco and intoxicants]])</f>
        <v>132.75</v>
      </c>
      <c r="AF138" s="2">
        <f>AVERAGE(All_India_Index_Upto_April23_CPI_data[[#This Row],[Household goods and services]],All_India_Index_Upto_April23_CPI_data[[#This Row],[Housing]])</f>
        <v>126.6</v>
      </c>
      <c r="AG138" s="2">
        <f>AVERAGE(All_India_Index_Upto_April23_CPI_data[[#This Row],[Personal care and effects]],All_India_Index_Upto_April23_CPI_data[[#This Row],[Health]])</f>
        <v>121.3</v>
      </c>
      <c r="AH138" s="2">
        <f>AVERAGE(All_India_Index_Upto_April23_CPI_data[[#This Row],[Clothing]:[Clothing and footwear]])</f>
        <v>126.33333333333333</v>
      </c>
      <c r="AI138" s="2">
        <v>128.6</v>
      </c>
      <c r="AJ138" s="1">
        <f>(All_India_Index_Upto_April23_CPI_data[[#This Row],[General index]]-AI135)/AI135</f>
        <v>4.6874999999999556E-3</v>
      </c>
    </row>
    <row r="139" spans="1:36" x14ac:dyDescent="0.25">
      <c r="A139" t="s">
        <v>33</v>
      </c>
      <c r="B139">
        <v>2016</v>
      </c>
      <c r="C139" t="s">
        <v>42</v>
      </c>
      <c r="D139" s="2">
        <v>130.5</v>
      </c>
      <c r="E139" s="2">
        <v>137.9</v>
      </c>
      <c r="F139" s="2">
        <v>130.19999999999999</v>
      </c>
      <c r="G139" s="2">
        <v>134.80000000000001</v>
      </c>
      <c r="H139" s="2">
        <v>117.8</v>
      </c>
      <c r="I139" s="2">
        <v>134.69999999999999</v>
      </c>
      <c r="J139" s="2">
        <v>151.19999999999999</v>
      </c>
      <c r="K139" s="2">
        <v>172.1</v>
      </c>
      <c r="L139" s="2">
        <v>114.1</v>
      </c>
      <c r="M139" s="2">
        <v>139.30000000000001</v>
      </c>
      <c r="N139" s="2">
        <v>126.1</v>
      </c>
      <c r="O139" s="2">
        <v>141.1</v>
      </c>
      <c r="P139" s="2">
        <v>137</v>
      </c>
      <c r="Q139" s="2">
        <v>141.80000000000001</v>
      </c>
      <c r="R139" s="2">
        <v>135.5</v>
      </c>
      <c r="S139" s="2">
        <v>129.1</v>
      </c>
      <c r="T139" s="2">
        <v>134.5</v>
      </c>
      <c r="U139" s="2">
        <v>128.69999999999999</v>
      </c>
      <c r="V139" s="2">
        <v>124.3</v>
      </c>
      <c r="W139" s="2">
        <v>128.4</v>
      </c>
      <c r="X139" s="2">
        <v>126.1</v>
      </c>
      <c r="Y139" s="2">
        <v>115.2</v>
      </c>
      <c r="Z139" s="2">
        <v>123.5</v>
      </c>
      <c r="AA139" s="2">
        <v>132.4</v>
      </c>
      <c r="AB139" s="2">
        <v>122.1</v>
      </c>
      <c r="AC139" s="2">
        <v>123.4</v>
      </c>
      <c r="AD139" s="2">
        <f>AVERAGE(All_India_Index_Upto_April23_CPI_data[[#This Row],[Cereals and products]:[Food and beverages]])</f>
        <v>135.90769230769226</v>
      </c>
      <c r="AE139" s="2">
        <f>AVERAGE(All_India_Index_Upto_April23_CPI_data[[#This Row],[Recreation and amusement]],All_India_Index_Upto_April23_CPI_data[[#This Row],[Pan, tobacco and intoxicants]])</f>
        <v>132.65</v>
      </c>
      <c r="AF139" s="2">
        <f>AVERAGE(All_India_Index_Upto_April23_CPI_data[[#This Row],[Household goods and services]],All_India_Index_Upto_April23_CPI_data[[#This Row],[Housing]])</f>
        <v>128.55000000000001</v>
      </c>
      <c r="AG139" s="2">
        <f>AVERAGE(All_India_Index_Upto_April23_CPI_data[[#This Row],[Personal care and effects]],All_India_Index_Upto_April23_CPI_data[[#This Row],[Health]])</f>
        <v>124.1</v>
      </c>
      <c r="AH139" s="2">
        <f>AVERAGE(All_India_Index_Upto_April23_CPI_data[[#This Row],[Clothing]:[Clothing and footwear]])</f>
        <v>133.03333333333333</v>
      </c>
      <c r="AI139" s="2">
        <v>131.4</v>
      </c>
      <c r="AJ139" s="1">
        <f>(All_India_Index_Upto_April23_CPI_data[[#This Row],[General index]]-AI136)/AI136</f>
        <v>3.819709702062643E-3</v>
      </c>
    </row>
    <row r="140" spans="1:36" x14ac:dyDescent="0.25">
      <c r="A140" t="s">
        <v>30</v>
      </c>
      <c r="B140">
        <v>2016</v>
      </c>
      <c r="C140" t="s">
        <v>43</v>
      </c>
      <c r="D140" s="2">
        <v>132</v>
      </c>
      <c r="E140" s="2">
        <v>137.4</v>
      </c>
      <c r="F140" s="2">
        <v>130.6</v>
      </c>
      <c r="G140" s="2">
        <v>136.19999999999999</v>
      </c>
      <c r="H140" s="2">
        <v>121.1</v>
      </c>
      <c r="I140" s="2">
        <v>136.9</v>
      </c>
      <c r="J140" s="2">
        <v>141.80000000000001</v>
      </c>
      <c r="K140" s="2">
        <v>170</v>
      </c>
      <c r="L140" s="2">
        <v>113.4</v>
      </c>
      <c r="M140" s="2">
        <v>136.80000000000001</v>
      </c>
      <c r="N140" s="2">
        <v>128.69999999999999</v>
      </c>
      <c r="O140" s="2">
        <v>143.1</v>
      </c>
      <c r="P140" s="2">
        <v>136.6</v>
      </c>
      <c r="Q140" s="2">
        <v>141.19999999999999</v>
      </c>
      <c r="R140" s="2">
        <v>139.9</v>
      </c>
      <c r="S140" s="2">
        <v>134.5</v>
      </c>
      <c r="T140" s="2">
        <v>139.19999999999999</v>
      </c>
      <c r="U140" s="2">
        <v>0</v>
      </c>
      <c r="V140" s="2">
        <v>130.30000000000001</v>
      </c>
      <c r="W140" s="2">
        <v>132.1</v>
      </c>
      <c r="X140" s="2">
        <v>129.1</v>
      </c>
      <c r="Y140" s="2">
        <v>118.2</v>
      </c>
      <c r="Z140" s="2">
        <v>126.9</v>
      </c>
      <c r="AA140" s="2">
        <v>133.69999999999999</v>
      </c>
      <c r="AB140" s="2">
        <v>123.5</v>
      </c>
      <c r="AC140" s="2">
        <v>126.1</v>
      </c>
      <c r="AD140" s="2">
        <f>AVERAGE(All_India_Index_Upto_April23_CPI_data[[#This Row],[Cereals and products]:[Food and beverages]])</f>
        <v>135.73846153846154</v>
      </c>
      <c r="AE140" s="2">
        <f>AVERAGE(All_India_Index_Upto_April23_CPI_data[[#This Row],[Recreation and amusement]],All_India_Index_Upto_April23_CPI_data[[#This Row],[Pan, tobacco and intoxicants]])</f>
        <v>134.05000000000001</v>
      </c>
      <c r="AF140" s="2">
        <f>AVERAGE(All_India_Index_Upto_April23_CPI_data[[#This Row],[Household goods and services]],All_India_Index_Upto_April23_CPI_data[[#This Row],[Housing]])</f>
        <v>66.05</v>
      </c>
      <c r="AG140" s="2">
        <f>AVERAGE(All_India_Index_Upto_April23_CPI_data[[#This Row],[Personal care and effects]],All_India_Index_Upto_April23_CPI_data[[#This Row],[Health]])</f>
        <v>126.3</v>
      </c>
      <c r="AH140" s="2">
        <f>AVERAGE(All_India_Index_Upto_April23_CPI_data[[#This Row],[Clothing]:[Clothing and footwear]])</f>
        <v>137.86666666666665</v>
      </c>
      <c r="AI140" s="2">
        <v>133.6</v>
      </c>
      <c r="AJ140" s="1">
        <f>(All_India_Index_Upto_April23_CPI_data[[#This Row],[General index]]-AI137)/AI137</f>
        <v>-1.494768310911936E-3</v>
      </c>
    </row>
    <row r="141" spans="1:36" x14ac:dyDescent="0.25">
      <c r="A141" t="s">
        <v>32</v>
      </c>
      <c r="B141">
        <v>2016</v>
      </c>
      <c r="C141" t="s">
        <v>43</v>
      </c>
      <c r="D141" s="2">
        <v>130.19999999999999</v>
      </c>
      <c r="E141" s="2">
        <v>138.5</v>
      </c>
      <c r="F141" s="2">
        <v>134.1</v>
      </c>
      <c r="G141" s="2">
        <v>132.9</v>
      </c>
      <c r="H141" s="2">
        <v>112.6</v>
      </c>
      <c r="I141" s="2">
        <v>130.80000000000001</v>
      </c>
      <c r="J141" s="2">
        <v>142</v>
      </c>
      <c r="K141" s="2">
        <v>174.9</v>
      </c>
      <c r="L141" s="2">
        <v>115.6</v>
      </c>
      <c r="M141" s="2">
        <v>145.4</v>
      </c>
      <c r="N141" s="2">
        <v>122.7</v>
      </c>
      <c r="O141" s="2">
        <v>140.30000000000001</v>
      </c>
      <c r="P141" s="2">
        <v>135.19999999999999</v>
      </c>
      <c r="Q141" s="2">
        <v>144.30000000000001</v>
      </c>
      <c r="R141" s="2">
        <v>129.6</v>
      </c>
      <c r="S141" s="2">
        <v>122.1</v>
      </c>
      <c r="T141" s="2">
        <v>128.5</v>
      </c>
      <c r="U141" s="2">
        <v>129.1</v>
      </c>
      <c r="V141" s="2">
        <v>116.2</v>
      </c>
      <c r="W141" s="2">
        <v>124.7</v>
      </c>
      <c r="X141" s="2">
        <v>122.1</v>
      </c>
      <c r="Y141" s="2">
        <v>113.4</v>
      </c>
      <c r="Z141" s="2">
        <v>121.7</v>
      </c>
      <c r="AA141" s="2">
        <v>132.1</v>
      </c>
      <c r="AB141" s="2">
        <v>121.3</v>
      </c>
      <c r="AC141" s="2">
        <v>121.3</v>
      </c>
      <c r="AD141" s="2">
        <f>AVERAGE(All_India_Index_Upto_April23_CPI_data[[#This Row],[Cereals and products]:[Food and beverages]])</f>
        <v>135.01538461538462</v>
      </c>
      <c r="AE141" s="2">
        <f>AVERAGE(All_India_Index_Upto_April23_CPI_data[[#This Row],[Recreation and amusement]],All_India_Index_Upto_April23_CPI_data[[#This Row],[Pan, tobacco and intoxicants]])</f>
        <v>133</v>
      </c>
      <c r="AF141" s="2">
        <f>AVERAGE(All_India_Index_Upto_April23_CPI_data[[#This Row],[Household goods and services]],All_India_Index_Upto_April23_CPI_data[[#This Row],[Housing]])</f>
        <v>126.9</v>
      </c>
      <c r="AG141" s="2">
        <f>AVERAGE(All_India_Index_Upto_April23_CPI_data[[#This Row],[Personal care and effects]],All_India_Index_Upto_April23_CPI_data[[#This Row],[Health]])</f>
        <v>121.69999999999999</v>
      </c>
      <c r="AH141" s="2">
        <f>AVERAGE(All_India_Index_Upto_April23_CPI_data[[#This Row],[Clothing]:[Clothing and footwear]])</f>
        <v>126.73333333333333</v>
      </c>
      <c r="AI141" s="2">
        <v>128.5</v>
      </c>
      <c r="AJ141" s="1">
        <f>(All_India_Index_Upto_April23_CPI_data[[#This Row],[General index]]-AI138)/AI138</f>
        <v>-7.7760497667180657E-4</v>
      </c>
    </row>
    <row r="142" spans="1:36" x14ac:dyDescent="0.25">
      <c r="A142" t="s">
        <v>33</v>
      </c>
      <c r="B142">
        <v>2016</v>
      </c>
      <c r="C142" t="s">
        <v>43</v>
      </c>
      <c r="D142" s="2">
        <v>131.4</v>
      </c>
      <c r="E142" s="2">
        <v>137.80000000000001</v>
      </c>
      <c r="F142" s="2">
        <v>132</v>
      </c>
      <c r="G142" s="2">
        <v>135</v>
      </c>
      <c r="H142" s="2">
        <v>118</v>
      </c>
      <c r="I142" s="2">
        <v>134.1</v>
      </c>
      <c r="J142" s="2">
        <v>141.9</v>
      </c>
      <c r="K142" s="2">
        <v>171.7</v>
      </c>
      <c r="L142" s="2">
        <v>114.1</v>
      </c>
      <c r="M142" s="2">
        <v>139.69999999999999</v>
      </c>
      <c r="N142" s="2">
        <v>126.2</v>
      </c>
      <c r="O142" s="2">
        <v>141.80000000000001</v>
      </c>
      <c r="P142" s="2">
        <v>136.1</v>
      </c>
      <c r="Q142" s="2">
        <v>142</v>
      </c>
      <c r="R142" s="2">
        <v>135.80000000000001</v>
      </c>
      <c r="S142" s="2">
        <v>129.30000000000001</v>
      </c>
      <c r="T142" s="2">
        <v>135</v>
      </c>
      <c r="U142" s="2">
        <v>129.1</v>
      </c>
      <c r="V142" s="2">
        <v>125</v>
      </c>
      <c r="W142" s="2">
        <v>128.6</v>
      </c>
      <c r="X142" s="2">
        <v>126.4</v>
      </c>
      <c r="Y142" s="2">
        <v>115.7</v>
      </c>
      <c r="Z142" s="2">
        <v>124</v>
      </c>
      <c r="AA142" s="2">
        <v>132.80000000000001</v>
      </c>
      <c r="AB142" s="2">
        <v>122.6</v>
      </c>
      <c r="AC142" s="2">
        <v>123.8</v>
      </c>
      <c r="AD142" s="2">
        <f>AVERAGE(All_India_Index_Upto_April23_CPI_data[[#This Row],[Cereals and products]:[Food and beverages]])</f>
        <v>135.36923076923077</v>
      </c>
      <c r="AE142" s="2">
        <f>AVERAGE(All_India_Index_Upto_April23_CPI_data[[#This Row],[Recreation and amusement]],All_India_Index_Upto_April23_CPI_data[[#This Row],[Pan, tobacco and intoxicants]])</f>
        <v>133</v>
      </c>
      <c r="AF142" s="2">
        <f>AVERAGE(All_India_Index_Upto_April23_CPI_data[[#This Row],[Household goods and services]],All_India_Index_Upto_April23_CPI_data[[#This Row],[Housing]])</f>
        <v>128.85</v>
      </c>
      <c r="AG142" s="2">
        <f>AVERAGE(All_India_Index_Upto_April23_CPI_data[[#This Row],[Personal care and effects]],All_India_Index_Upto_April23_CPI_data[[#This Row],[Health]])</f>
        <v>124.5</v>
      </c>
      <c r="AH142" s="2">
        <f>AVERAGE(All_India_Index_Upto_April23_CPI_data[[#This Row],[Clothing]:[Clothing and footwear]])</f>
        <v>133.36666666666667</v>
      </c>
      <c r="AI142" s="2">
        <v>131.19999999999999</v>
      </c>
      <c r="AJ142" s="1">
        <f>(All_India_Index_Upto_April23_CPI_data[[#This Row],[General index]]-AI139)/AI139</f>
        <v>-1.52207001522083E-3</v>
      </c>
    </row>
    <row r="143" spans="1:36" x14ac:dyDescent="0.25">
      <c r="A143" t="s">
        <v>30</v>
      </c>
      <c r="B143">
        <v>2016</v>
      </c>
      <c r="C143" t="s">
        <v>44</v>
      </c>
      <c r="D143" s="2">
        <v>132.6</v>
      </c>
      <c r="E143" s="2">
        <v>137.30000000000001</v>
      </c>
      <c r="F143" s="2">
        <v>131.6</v>
      </c>
      <c r="G143" s="2">
        <v>136.30000000000001</v>
      </c>
      <c r="H143" s="2">
        <v>121.6</v>
      </c>
      <c r="I143" s="2">
        <v>135.6</v>
      </c>
      <c r="J143" s="2">
        <v>127.5</v>
      </c>
      <c r="K143" s="2">
        <v>167.9</v>
      </c>
      <c r="L143" s="2">
        <v>113.8</v>
      </c>
      <c r="M143" s="2">
        <v>137.5</v>
      </c>
      <c r="N143" s="2">
        <v>129.1</v>
      </c>
      <c r="O143" s="2">
        <v>143.6</v>
      </c>
      <c r="P143" s="2">
        <v>134.69999999999999</v>
      </c>
      <c r="Q143" s="2">
        <v>142.4</v>
      </c>
      <c r="R143" s="2">
        <v>140.4</v>
      </c>
      <c r="S143" s="2">
        <v>135.19999999999999</v>
      </c>
      <c r="T143" s="2">
        <v>139.69999999999999</v>
      </c>
      <c r="U143" s="2">
        <v>0</v>
      </c>
      <c r="V143" s="2">
        <v>132</v>
      </c>
      <c r="W143" s="2">
        <v>132.9</v>
      </c>
      <c r="X143" s="2">
        <v>129.69999999999999</v>
      </c>
      <c r="Y143" s="2">
        <v>118.6</v>
      </c>
      <c r="Z143" s="2">
        <v>127.3</v>
      </c>
      <c r="AA143" s="2">
        <v>134.19999999999999</v>
      </c>
      <c r="AB143" s="2">
        <v>121.9</v>
      </c>
      <c r="AC143" s="2">
        <v>126.3</v>
      </c>
      <c r="AD143" s="2">
        <f>AVERAGE(All_India_Index_Upto_April23_CPI_data[[#This Row],[Cereals and products]:[Food and beverages]])</f>
        <v>134.54615384615383</v>
      </c>
      <c r="AE143" s="2">
        <f>AVERAGE(All_India_Index_Upto_April23_CPI_data[[#This Row],[Recreation and amusement]],All_India_Index_Upto_April23_CPI_data[[#This Row],[Pan, tobacco and intoxicants]])</f>
        <v>134.85</v>
      </c>
      <c r="AF143" s="2">
        <f>AVERAGE(All_India_Index_Upto_April23_CPI_data[[#This Row],[Household goods and services]],All_India_Index_Upto_April23_CPI_data[[#This Row],[Housing]])</f>
        <v>66.45</v>
      </c>
      <c r="AG143" s="2">
        <f>AVERAGE(All_India_Index_Upto_April23_CPI_data[[#This Row],[Personal care and effects]],All_India_Index_Upto_April23_CPI_data[[#This Row],[Health]])</f>
        <v>125.8</v>
      </c>
      <c r="AH143" s="2">
        <f>AVERAGE(All_India_Index_Upto_April23_CPI_data[[#This Row],[Clothing]:[Clothing and footwear]])</f>
        <v>138.43333333333334</v>
      </c>
      <c r="AI143" s="2">
        <v>132.80000000000001</v>
      </c>
      <c r="AJ143" s="1">
        <f>(All_India_Index_Upto_April23_CPI_data[[#This Row],[General index]]-AI140)/AI140</f>
        <v>-5.9880239520956812E-3</v>
      </c>
    </row>
    <row r="144" spans="1:36" x14ac:dyDescent="0.25">
      <c r="A144" t="s">
        <v>32</v>
      </c>
      <c r="B144">
        <v>2016</v>
      </c>
      <c r="C144" t="s">
        <v>44</v>
      </c>
      <c r="D144" s="2">
        <v>131.6</v>
      </c>
      <c r="E144" s="2">
        <v>138.19999999999999</v>
      </c>
      <c r="F144" s="2">
        <v>134.9</v>
      </c>
      <c r="G144" s="2">
        <v>133.1</v>
      </c>
      <c r="H144" s="2">
        <v>113.5</v>
      </c>
      <c r="I144" s="2">
        <v>129.30000000000001</v>
      </c>
      <c r="J144" s="2">
        <v>121.1</v>
      </c>
      <c r="K144" s="2">
        <v>170.3</v>
      </c>
      <c r="L144" s="2">
        <v>115.5</v>
      </c>
      <c r="M144" s="2">
        <v>145.5</v>
      </c>
      <c r="N144" s="2">
        <v>123.1</v>
      </c>
      <c r="O144" s="2">
        <v>140.9</v>
      </c>
      <c r="P144" s="2">
        <v>132.80000000000001</v>
      </c>
      <c r="Q144" s="2">
        <v>145</v>
      </c>
      <c r="R144" s="2">
        <v>130</v>
      </c>
      <c r="S144" s="2">
        <v>122.2</v>
      </c>
      <c r="T144" s="2">
        <v>128.80000000000001</v>
      </c>
      <c r="U144" s="2">
        <v>128.5</v>
      </c>
      <c r="V144" s="2">
        <v>117.8</v>
      </c>
      <c r="W144" s="2">
        <v>125</v>
      </c>
      <c r="X144" s="2">
        <v>122.3</v>
      </c>
      <c r="Y144" s="2">
        <v>113.7</v>
      </c>
      <c r="Z144" s="2">
        <v>121.8</v>
      </c>
      <c r="AA144" s="2">
        <v>132.30000000000001</v>
      </c>
      <c r="AB144" s="2">
        <v>119.9</v>
      </c>
      <c r="AC144" s="2">
        <v>121.4</v>
      </c>
      <c r="AD144" s="2">
        <f>AVERAGE(All_India_Index_Upto_April23_CPI_data[[#This Row],[Cereals and products]:[Food and beverages]])</f>
        <v>133.06153846153845</v>
      </c>
      <c r="AE144" s="2">
        <f>AVERAGE(All_India_Index_Upto_April23_CPI_data[[#This Row],[Recreation and amusement]],All_India_Index_Upto_April23_CPI_data[[#This Row],[Pan, tobacco and intoxicants]])</f>
        <v>133.4</v>
      </c>
      <c r="AF144" s="2">
        <f>AVERAGE(All_India_Index_Upto_April23_CPI_data[[#This Row],[Household goods and services]],All_India_Index_Upto_April23_CPI_data[[#This Row],[Housing]])</f>
        <v>126.75</v>
      </c>
      <c r="AG144" s="2">
        <f>AVERAGE(All_India_Index_Upto_April23_CPI_data[[#This Row],[Personal care and effects]],All_India_Index_Upto_April23_CPI_data[[#This Row],[Health]])</f>
        <v>121.1</v>
      </c>
      <c r="AH144" s="2">
        <f>AVERAGE(All_India_Index_Upto_April23_CPI_data[[#This Row],[Clothing]:[Clothing and footwear]])</f>
        <v>127</v>
      </c>
      <c r="AI144" s="2">
        <v>127.6</v>
      </c>
      <c r="AJ144" s="1">
        <f>(All_India_Index_Upto_April23_CPI_data[[#This Row],[General index]]-AI141)/AI141</f>
        <v>-7.0038910505837021E-3</v>
      </c>
    </row>
    <row r="145" spans="1:36" x14ac:dyDescent="0.25">
      <c r="A145" t="s">
        <v>33</v>
      </c>
      <c r="B145">
        <v>2016</v>
      </c>
      <c r="C145" t="s">
        <v>44</v>
      </c>
      <c r="D145" s="2">
        <v>132.30000000000001</v>
      </c>
      <c r="E145" s="2">
        <v>137.6</v>
      </c>
      <c r="F145" s="2">
        <v>132.9</v>
      </c>
      <c r="G145" s="2">
        <v>135.1</v>
      </c>
      <c r="H145" s="2">
        <v>118.6</v>
      </c>
      <c r="I145" s="2">
        <v>132.69999999999999</v>
      </c>
      <c r="J145" s="2">
        <v>125.3</v>
      </c>
      <c r="K145" s="2">
        <v>168.7</v>
      </c>
      <c r="L145" s="2">
        <v>114.4</v>
      </c>
      <c r="M145" s="2">
        <v>140.19999999999999</v>
      </c>
      <c r="N145" s="2">
        <v>126.6</v>
      </c>
      <c r="O145" s="2">
        <v>142.30000000000001</v>
      </c>
      <c r="P145" s="2">
        <v>134</v>
      </c>
      <c r="Q145" s="2">
        <v>143.1</v>
      </c>
      <c r="R145" s="2">
        <v>136.30000000000001</v>
      </c>
      <c r="S145" s="2">
        <v>129.80000000000001</v>
      </c>
      <c r="T145" s="2">
        <v>135.4</v>
      </c>
      <c r="U145" s="2">
        <v>128.5</v>
      </c>
      <c r="V145" s="2">
        <v>126.6</v>
      </c>
      <c r="W145" s="2">
        <v>129.19999999999999</v>
      </c>
      <c r="X145" s="2">
        <v>126.9</v>
      </c>
      <c r="Y145" s="2">
        <v>116</v>
      </c>
      <c r="Z145" s="2">
        <v>124.2</v>
      </c>
      <c r="AA145" s="2">
        <v>133.1</v>
      </c>
      <c r="AB145" s="2">
        <v>121.1</v>
      </c>
      <c r="AC145" s="2">
        <v>123.9</v>
      </c>
      <c r="AD145" s="2">
        <f>AVERAGE(All_India_Index_Upto_April23_CPI_data[[#This Row],[Cereals and products]:[Food and beverages]])</f>
        <v>133.9</v>
      </c>
      <c r="AE145" s="2">
        <f>AVERAGE(All_India_Index_Upto_April23_CPI_data[[#This Row],[Recreation and amusement]],All_India_Index_Upto_April23_CPI_data[[#This Row],[Pan, tobacco and intoxicants]])</f>
        <v>133.65</v>
      </c>
      <c r="AF145" s="2">
        <f>AVERAGE(All_India_Index_Upto_April23_CPI_data[[#This Row],[Household goods and services]],All_India_Index_Upto_April23_CPI_data[[#This Row],[Housing]])</f>
        <v>128.85</v>
      </c>
      <c r="AG145" s="2">
        <f>AVERAGE(All_India_Index_Upto_April23_CPI_data[[#This Row],[Personal care and effects]],All_India_Index_Upto_April23_CPI_data[[#This Row],[Health]])</f>
        <v>124</v>
      </c>
      <c r="AH145" s="2">
        <f>AVERAGE(All_India_Index_Upto_April23_CPI_data[[#This Row],[Clothing]:[Clothing and footwear]])</f>
        <v>133.83333333333334</v>
      </c>
      <c r="AI145" s="2">
        <v>130.4</v>
      </c>
      <c r="AJ145" s="1">
        <f>(All_India_Index_Upto_April23_CPI_data[[#This Row],[General index]]-AI142)/AI142</f>
        <v>-6.0975609756096271E-3</v>
      </c>
    </row>
    <row r="146" spans="1:36" x14ac:dyDescent="0.25">
      <c r="A146" t="s">
        <v>30</v>
      </c>
      <c r="B146">
        <v>2017</v>
      </c>
      <c r="C146" t="s">
        <v>31</v>
      </c>
      <c r="D146" s="2">
        <v>133.1</v>
      </c>
      <c r="E146" s="2">
        <v>137.80000000000001</v>
      </c>
      <c r="F146" s="2">
        <v>131.9</v>
      </c>
      <c r="G146" s="2">
        <v>136.69999999999999</v>
      </c>
      <c r="H146" s="2">
        <v>122</v>
      </c>
      <c r="I146" s="2">
        <v>136</v>
      </c>
      <c r="J146" s="2">
        <v>119.8</v>
      </c>
      <c r="K146" s="2">
        <v>161.69999999999999</v>
      </c>
      <c r="L146" s="2">
        <v>114.8</v>
      </c>
      <c r="M146" s="2">
        <v>136.9</v>
      </c>
      <c r="N146" s="2">
        <v>129</v>
      </c>
      <c r="O146" s="2">
        <v>143.9</v>
      </c>
      <c r="P146" s="2">
        <v>133.69999999999999</v>
      </c>
      <c r="Q146" s="2">
        <v>143.1</v>
      </c>
      <c r="R146" s="2">
        <v>140.69999999999999</v>
      </c>
      <c r="S146" s="2">
        <v>135.80000000000001</v>
      </c>
      <c r="T146" s="2">
        <v>140</v>
      </c>
      <c r="U146" s="2">
        <v>0</v>
      </c>
      <c r="V146" s="2">
        <v>132.1</v>
      </c>
      <c r="W146" s="2">
        <v>133.19999999999999</v>
      </c>
      <c r="X146" s="2">
        <v>129.9</v>
      </c>
      <c r="Y146" s="2">
        <v>119.1</v>
      </c>
      <c r="Z146" s="2">
        <v>127</v>
      </c>
      <c r="AA146" s="2">
        <v>134.6</v>
      </c>
      <c r="AB146" s="2">
        <v>122.3</v>
      </c>
      <c r="AC146" s="2">
        <v>126.6</v>
      </c>
      <c r="AD146" s="2">
        <f>AVERAGE(All_India_Index_Upto_April23_CPI_data[[#This Row],[Cereals and products]:[Food and beverages]])</f>
        <v>133.63846153846154</v>
      </c>
      <c r="AE146" s="2">
        <f>AVERAGE(All_India_Index_Upto_April23_CPI_data[[#This Row],[Recreation and amusement]],All_India_Index_Upto_April23_CPI_data[[#This Row],[Pan, tobacco and intoxicants]])</f>
        <v>135.05000000000001</v>
      </c>
      <c r="AF146" s="2">
        <f>AVERAGE(All_India_Index_Upto_April23_CPI_data[[#This Row],[Household goods and services]],All_India_Index_Upto_April23_CPI_data[[#This Row],[Housing]])</f>
        <v>66.599999999999994</v>
      </c>
      <c r="AG146" s="2">
        <f>AVERAGE(All_India_Index_Upto_April23_CPI_data[[#This Row],[Personal care and effects]],All_India_Index_Upto_April23_CPI_data[[#This Row],[Health]])</f>
        <v>126.1</v>
      </c>
      <c r="AH146" s="2">
        <f>AVERAGE(All_India_Index_Upto_April23_CPI_data[[#This Row],[Clothing]:[Clothing and footwear]])</f>
        <v>138.83333333333334</v>
      </c>
      <c r="AI146" s="2">
        <v>132.4</v>
      </c>
      <c r="AJ146" s="1">
        <f>(All_India_Index_Upto_April23_CPI_data[[#This Row],[General index]]-AI143)/AI143</f>
        <v>-3.012048192771127E-3</v>
      </c>
    </row>
    <row r="147" spans="1:36" x14ac:dyDescent="0.25">
      <c r="A147" t="s">
        <v>32</v>
      </c>
      <c r="B147">
        <v>2017</v>
      </c>
      <c r="C147" t="s">
        <v>31</v>
      </c>
      <c r="D147" s="2">
        <v>132.19999999999999</v>
      </c>
      <c r="E147" s="2">
        <v>138.9</v>
      </c>
      <c r="F147" s="2">
        <v>132.6</v>
      </c>
      <c r="G147" s="2">
        <v>133.1</v>
      </c>
      <c r="H147" s="2">
        <v>114</v>
      </c>
      <c r="I147" s="2">
        <v>129.6</v>
      </c>
      <c r="J147" s="2">
        <v>118.7</v>
      </c>
      <c r="K147" s="2">
        <v>155.1</v>
      </c>
      <c r="L147" s="2">
        <v>117.3</v>
      </c>
      <c r="M147" s="2">
        <v>144.9</v>
      </c>
      <c r="N147" s="2">
        <v>123.2</v>
      </c>
      <c r="O147" s="2">
        <v>141.6</v>
      </c>
      <c r="P147" s="2">
        <v>132</v>
      </c>
      <c r="Q147" s="2">
        <v>145.6</v>
      </c>
      <c r="R147" s="2">
        <v>130.19999999999999</v>
      </c>
      <c r="S147" s="2">
        <v>122.3</v>
      </c>
      <c r="T147" s="2">
        <v>129</v>
      </c>
      <c r="U147" s="2">
        <v>129.6</v>
      </c>
      <c r="V147" s="2">
        <v>118</v>
      </c>
      <c r="W147" s="2">
        <v>125.1</v>
      </c>
      <c r="X147" s="2">
        <v>122.6</v>
      </c>
      <c r="Y147" s="2">
        <v>115.2</v>
      </c>
      <c r="Z147" s="2">
        <v>122</v>
      </c>
      <c r="AA147" s="2">
        <v>132.4</v>
      </c>
      <c r="AB147" s="2">
        <v>120.9</v>
      </c>
      <c r="AC147" s="2">
        <v>122.1</v>
      </c>
      <c r="AD147" s="2">
        <f>AVERAGE(All_India_Index_Upto_April23_CPI_data[[#This Row],[Cereals and products]:[Food and beverages]])</f>
        <v>131.78461538461539</v>
      </c>
      <c r="AE147" s="2">
        <f>AVERAGE(All_India_Index_Upto_April23_CPI_data[[#This Row],[Recreation and amusement]],All_India_Index_Upto_April23_CPI_data[[#This Row],[Pan, tobacco and intoxicants]])</f>
        <v>133.80000000000001</v>
      </c>
      <c r="AF147" s="2">
        <f>AVERAGE(All_India_Index_Upto_April23_CPI_data[[#This Row],[Household goods and services]],All_India_Index_Upto_April23_CPI_data[[#This Row],[Housing]])</f>
        <v>127.35</v>
      </c>
      <c r="AG147" s="2">
        <f>AVERAGE(All_India_Index_Upto_April23_CPI_data[[#This Row],[Personal care and effects]],All_India_Index_Upto_April23_CPI_data[[#This Row],[Health]])</f>
        <v>121.75</v>
      </c>
      <c r="AH147" s="2">
        <f>AVERAGE(All_India_Index_Upto_April23_CPI_data[[#This Row],[Clothing]:[Clothing and footwear]])</f>
        <v>127.16666666666667</v>
      </c>
      <c r="AI147" s="2">
        <v>127.8</v>
      </c>
      <c r="AJ147" s="1">
        <f>(All_India_Index_Upto_April23_CPI_data[[#This Row],[General index]]-AI144)/AI144</f>
        <v>1.5673981191222793E-3</v>
      </c>
    </row>
    <row r="148" spans="1:36" x14ac:dyDescent="0.25">
      <c r="A148" t="s">
        <v>33</v>
      </c>
      <c r="B148">
        <v>2017</v>
      </c>
      <c r="C148" t="s">
        <v>31</v>
      </c>
      <c r="D148" s="2">
        <v>132.80000000000001</v>
      </c>
      <c r="E148" s="2">
        <v>138.19999999999999</v>
      </c>
      <c r="F148" s="2">
        <v>132.19999999999999</v>
      </c>
      <c r="G148" s="2">
        <v>135.4</v>
      </c>
      <c r="H148" s="2">
        <v>119.1</v>
      </c>
      <c r="I148" s="2">
        <v>133</v>
      </c>
      <c r="J148" s="2">
        <v>119.4</v>
      </c>
      <c r="K148" s="2">
        <v>159.5</v>
      </c>
      <c r="L148" s="2">
        <v>115.6</v>
      </c>
      <c r="M148" s="2">
        <v>139.6</v>
      </c>
      <c r="N148" s="2">
        <v>126.6</v>
      </c>
      <c r="O148" s="2">
        <v>142.80000000000001</v>
      </c>
      <c r="P148" s="2">
        <v>133.1</v>
      </c>
      <c r="Q148" s="2">
        <v>143.80000000000001</v>
      </c>
      <c r="R148" s="2">
        <v>136.6</v>
      </c>
      <c r="S148" s="2">
        <v>130.19999999999999</v>
      </c>
      <c r="T148" s="2">
        <v>135.6</v>
      </c>
      <c r="U148" s="2">
        <v>129.6</v>
      </c>
      <c r="V148" s="2">
        <v>126.8</v>
      </c>
      <c r="W148" s="2">
        <v>129.4</v>
      </c>
      <c r="X148" s="2">
        <v>127.1</v>
      </c>
      <c r="Y148" s="2">
        <v>117</v>
      </c>
      <c r="Z148" s="2">
        <v>124.2</v>
      </c>
      <c r="AA148" s="2">
        <v>133.30000000000001</v>
      </c>
      <c r="AB148" s="2">
        <v>121.7</v>
      </c>
      <c r="AC148" s="2">
        <v>124.4</v>
      </c>
      <c r="AD148" s="2">
        <f>AVERAGE(All_India_Index_Upto_April23_CPI_data[[#This Row],[Cereals and products]:[Food and beverages]])</f>
        <v>132.86923076923074</v>
      </c>
      <c r="AE148" s="2">
        <f>AVERAGE(All_India_Index_Upto_April23_CPI_data[[#This Row],[Recreation and amusement]],All_India_Index_Upto_April23_CPI_data[[#This Row],[Pan, tobacco and intoxicants]])</f>
        <v>134</v>
      </c>
      <c r="AF148" s="2">
        <f>AVERAGE(All_India_Index_Upto_April23_CPI_data[[#This Row],[Household goods and services]],All_India_Index_Upto_April23_CPI_data[[#This Row],[Housing]])</f>
        <v>129.5</v>
      </c>
      <c r="AG148" s="2">
        <f>AVERAGE(All_India_Index_Upto_April23_CPI_data[[#This Row],[Personal care and effects]],All_India_Index_Upto_April23_CPI_data[[#This Row],[Health]])</f>
        <v>124.4</v>
      </c>
      <c r="AH148" s="2">
        <f>AVERAGE(All_India_Index_Upto_April23_CPI_data[[#This Row],[Clothing]:[Clothing and footwear]])</f>
        <v>134.13333333333333</v>
      </c>
      <c r="AI148" s="2">
        <v>130.30000000000001</v>
      </c>
      <c r="AJ148" s="1">
        <f>(All_India_Index_Upto_April23_CPI_data[[#This Row],[General index]]-AI145)/AI145</f>
        <v>-7.668711656441281E-4</v>
      </c>
    </row>
    <row r="149" spans="1:36" x14ac:dyDescent="0.25">
      <c r="A149" t="s">
        <v>30</v>
      </c>
      <c r="B149">
        <v>2017</v>
      </c>
      <c r="C149" t="s">
        <v>34</v>
      </c>
      <c r="D149" s="2">
        <v>133.30000000000001</v>
      </c>
      <c r="E149" s="2">
        <v>138.30000000000001</v>
      </c>
      <c r="F149" s="2">
        <v>129.30000000000001</v>
      </c>
      <c r="G149" s="2">
        <v>137.19999999999999</v>
      </c>
      <c r="H149" s="2">
        <v>122.1</v>
      </c>
      <c r="I149" s="2">
        <v>138.69999999999999</v>
      </c>
      <c r="J149" s="2">
        <v>119.1</v>
      </c>
      <c r="K149" s="2">
        <v>156.9</v>
      </c>
      <c r="L149" s="2">
        <v>116.2</v>
      </c>
      <c r="M149" s="2">
        <v>136</v>
      </c>
      <c r="N149" s="2">
        <v>129.4</v>
      </c>
      <c r="O149" s="2">
        <v>144.4</v>
      </c>
      <c r="P149" s="2">
        <v>133.6</v>
      </c>
      <c r="Q149" s="2">
        <v>143.69999999999999</v>
      </c>
      <c r="R149" s="2">
        <v>140.9</v>
      </c>
      <c r="S149" s="2">
        <v>135.80000000000001</v>
      </c>
      <c r="T149" s="2">
        <v>140.19999999999999</v>
      </c>
      <c r="U149" s="2">
        <v>0</v>
      </c>
      <c r="V149" s="2">
        <v>133.19999999999999</v>
      </c>
      <c r="W149" s="2">
        <v>133.6</v>
      </c>
      <c r="X149" s="2">
        <v>130.1</v>
      </c>
      <c r="Y149" s="2">
        <v>119.5</v>
      </c>
      <c r="Z149" s="2">
        <v>127.7</v>
      </c>
      <c r="AA149" s="2">
        <v>134.9</v>
      </c>
      <c r="AB149" s="2">
        <v>123.2</v>
      </c>
      <c r="AC149" s="2">
        <v>127</v>
      </c>
      <c r="AD149" s="2">
        <f>AVERAGE(All_India_Index_Upto_April23_CPI_data[[#This Row],[Cereals and products]:[Food and beverages]])</f>
        <v>133.42307692307693</v>
      </c>
      <c r="AE149" s="2">
        <f>AVERAGE(All_India_Index_Upto_April23_CPI_data[[#This Row],[Recreation and amusement]],All_India_Index_Upto_April23_CPI_data[[#This Row],[Pan, tobacco and intoxicants]])</f>
        <v>135.69999999999999</v>
      </c>
      <c r="AF149" s="2">
        <f>AVERAGE(All_India_Index_Upto_April23_CPI_data[[#This Row],[Household goods and services]],All_India_Index_Upto_April23_CPI_data[[#This Row],[Housing]])</f>
        <v>66.8</v>
      </c>
      <c r="AG149" s="2">
        <f>AVERAGE(All_India_Index_Upto_April23_CPI_data[[#This Row],[Personal care and effects]],All_India_Index_Upto_April23_CPI_data[[#This Row],[Health]])</f>
        <v>126.65</v>
      </c>
      <c r="AH149" s="2">
        <f>AVERAGE(All_India_Index_Upto_April23_CPI_data[[#This Row],[Clothing]:[Clothing and footwear]])</f>
        <v>138.96666666666667</v>
      </c>
      <c r="AI149" s="2">
        <v>132.6</v>
      </c>
      <c r="AJ149" s="1">
        <f>(All_India_Index_Upto_April23_CPI_data[[#This Row],[General index]]-AI146)/AI146</f>
        <v>1.5105740181268023E-3</v>
      </c>
    </row>
    <row r="150" spans="1:36" x14ac:dyDescent="0.25">
      <c r="A150" t="s">
        <v>32</v>
      </c>
      <c r="B150">
        <v>2017</v>
      </c>
      <c r="C150" t="s">
        <v>34</v>
      </c>
      <c r="D150" s="2">
        <v>132.80000000000001</v>
      </c>
      <c r="E150" s="2">
        <v>139.80000000000001</v>
      </c>
      <c r="F150" s="2">
        <v>129.30000000000001</v>
      </c>
      <c r="G150" s="2">
        <v>133.5</v>
      </c>
      <c r="H150" s="2">
        <v>114.3</v>
      </c>
      <c r="I150" s="2">
        <v>131.4</v>
      </c>
      <c r="J150" s="2">
        <v>120.2</v>
      </c>
      <c r="K150" s="2">
        <v>143.1</v>
      </c>
      <c r="L150" s="2">
        <v>119.5</v>
      </c>
      <c r="M150" s="2">
        <v>144</v>
      </c>
      <c r="N150" s="2">
        <v>123.4</v>
      </c>
      <c r="O150" s="2">
        <v>141.9</v>
      </c>
      <c r="P150" s="2">
        <v>132.1</v>
      </c>
      <c r="Q150" s="2">
        <v>146.30000000000001</v>
      </c>
      <c r="R150" s="2">
        <v>130.5</v>
      </c>
      <c r="S150" s="2">
        <v>122.5</v>
      </c>
      <c r="T150" s="2">
        <v>129.30000000000001</v>
      </c>
      <c r="U150" s="2">
        <v>130.5</v>
      </c>
      <c r="V150" s="2">
        <v>119.2</v>
      </c>
      <c r="W150" s="2">
        <v>125.3</v>
      </c>
      <c r="X150" s="2">
        <v>122.9</v>
      </c>
      <c r="Y150" s="2">
        <v>115.5</v>
      </c>
      <c r="Z150" s="2">
        <v>122.2</v>
      </c>
      <c r="AA150" s="2">
        <v>132.4</v>
      </c>
      <c r="AB150" s="2">
        <v>121.7</v>
      </c>
      <c r="AC150" s="2">
        <v>122.4</v>
      </c>
      <c r="AD150" s="2">
        <f>AVERAGE(All_India_Index_Upto_April23_CPI_data[[#This Row],[Cereals and products]:[Food and beverages]])</f>
        <v>131.17692307692309</v>
      </c>
      <c r="AE150" s="2">
        <f>AVERAGE(All_India_Index_Upto_April23_CPI_data[[#This Row],[Recreation and amusement]],All_India_Index_Upto_April23_CPI_data[[#This Row],[Pan, tobacco and intoxicants]])</f>
        <v>134.25</v>
      </c>
      <c r="AF150" s="2">
        <f>AVERAGE(All_India_Index_Upto_April23_CPI_data[[#This Row],[Household goods and services]],All_India_Index_Upto_April23_CPI_data[[#This Row],[Housing]])</f>
        <v>127.9</v>
      </c>
      <c r="AG150" s="2">
        <f>AVERAGE(All_India_Index_Upto_April23_CPI_data[[#This Row],[Personal care and effects]],All_India_Index_Upto_April23_CPI_data[[#This Row],[Health]])</f>
        <v>122.30000000000001</v>
      </c>
      <c r="AH150" s="2">
        <f>AVERAGE(All_India_Index_Upto_April23_CPI_data[[#This Row],[Clothing]:[Clothing and footwear]])</f>
        <v>127.43333333333334</v>
      </c>
      <c r="AI150" s="2">
        <v>128.19999999999999</v>
      </c>
      <c r="AJ150" s="1">
        <f>(All_India_Index_Upto_April23_CPI_data[[#This Row],[General index]]-AI147)/AI147</f>
        <v>3.1298904538340491E-3</v>
      </c>
    </row>
    <row r="151" spans="1:36" x14ac:dyDescent="0.25">
      <c r="A151" t="s">
        <v>33</v>
      </c>
      <c r="B151">
        <v>2017</v>
      </c>
      <c r="C151" t="s">
        <v>34</v>
      </c>
      <c r="D151" s="2">
        <v>133.1</v>
      </c>
      <c r="E151" s="2">
        <v>138.80000000000001</v>
      </c>
      <c r="F151" s="2">
        <v>129.30000000000001</v>
      </c>
      <c r="G151" s="2">
        <v>135.80000000000001</v>
      </c>
      <c r="H151" s="2">
        <v>119.2</v>
      </c>
      <c r="I151" s="2">
        <v>135.30000000000001</v>
      </c>
      <c r="J151" s="2">
        <v>119.5</v>
      </c>
      <c r="K151" s="2">
        <v>152.19999999999999</v>
      </c>
      <c r="L151" s="2">
        <v>117.3</v>
      </c>
      <c r="M151" s="2">
        <v>138.69999999999999</v>
      </c>
      <c r="N151" s="2">
        <v>126.9</v>
      </c>
      <c r="O151" s="2">
        <v>143.19999999999999</v>
      </c>
      <c r="P151" s="2">
        <v>133</v>
      </c>
      <c r="Q151" s="2">
        <v>144.4</v>
      </c>
      <c r="R151" s="2">
        <v>136.80000000000001</v>
      </c>
      <c r="S151" s="2">
        <v>130.30000000000001</v>
      </c>
      <c r="T151" s="2">
        <v>135.9</v>
      </c>
      <c r="U151" s="2">
        <v>130.5</v>
      </c>
      <c r="V151" s="2">
        <v>127.9</v>
      </c>
      <c r="W151" s="2">
        <v>129.69999999999999</v>
      </c>
      <c r="X151" s="2">
        <v>127.4</v>
      </c>
      <c r="Y151" s="2">
        <v>117.4</v>
      </c>
      <c r="Z151" s="2">
        <v>124.6</v>
      </c>
      <c r="AA151" s="2">
        <v>133.4</v>
      </c>
      <c r="AB151" s="2">
        <v>122.6</v>
      </c>
      <c r="AC151" s="2">
        <v>124.8</v>
      </c>
      <c r="AD151" s="2">
        <f>AVERAGE(All_India_Index_Upto_April23_CPI_data[[#This Row],[Cereals and products]:[Food and beverages]])</f>
        <v>132.48461538461541</v>
      </c>
      <c r="AE151" s="2">
        <f>AVERAGE(All_India_Index_Upto_April23_CPI_data[[#This Row],[Recreation and amusement]],All_India_Index_Upto_April23_CPI_data[[#This Row],[Pan, tobacco and intoxicants]])</f>
        <v>134.5</v>
      </c>
      <c r="AF151" s="2">
        <f>AVERAGE(All_India_Index_Upto_April23_CPI_data[[#This Row],[Household goods and services]],All_India_Index_Upto_April23_CPI_data[[#This Row],[Housing]])</f>
        <v>130.1</v>
      </c>
      <c r="AG151" s="2">
        <f>AVERAGE(All_India_Index_Upto_April23_CPI_data[[#This Row],[Personal care and effects]],All_India_Index_Upto_April23_CPI_data[[#This Row],[Health]])</f>
        <v>125</v>
      </c>
      <c r="AH151" s="2">
        <f>AVERAGE(All_India_Index_Upto_April23_CPI_data[[#This Row],[Clothing]:[Clothing and footwear]])</f>
        <v>134.33333333333334</v>
      </c>
      <c r="AI151" s="2">
        <v>130.6</v>
      </c>
      <c r="AJ151" s="1">
        <f>(All_India_Index_Upto_April23_CPI_data[[#This Row],[General index]]-AI148)/AI148</f>
        <v>2.3023791250958016E-3</v>
      </c>
    </row>
    <row r="152" spans="1:36" x14ac:dyDescent="0.25">
      <c r="A152" t="s">
        <v>30</v>
      </c>
      <c r="B152">
        <v>2017</v>
      </c>
      <c r="C152" t="s">
        <v>35</v>
      </c>
      <c r="D152" s="2">
        <v>133.6</v>
      </c>
      <c r="E152" s="2">
        <v>138.80000000000001</v>
      </c>
      <c r="F152" s="2">
        <v>128.80000000000001</v>
      </c>
      <c r="G152" s="2">
        <v>137.19999999999999</v>
      </c>
      <c r="H152" s="2">
        <v>121.6</v>
      </c>
      <c r="I152" s="2">
        <v>139.69999999999999</v>
      </c>
      <c r="J152" s="2">
        <v>119.7</v>
      </c>
      <c r="K152" s="2">
        <v>148</v>
      </c>
      <c r="L152" s="2">
        <v>116.9</v>
      </c>
      <c r="M152" s="2">
        <v>135.6</v>
      </c>
      <c r="N152" s="2">
        <v>129.80000000000001</v>
      </c>
      <c r="O152" s="2">
        <v>145.4</v>
      </c>
      <c r="P152" s="2">
        <v>133.4</v>
      </c>
      <c r="Q152" s="2">
        <v>144.19999999999999</v>
      </c>
      <c r="R152" s="2">
        <v>141.6</v>
      </c>
      <c r="S152" s="2">
        <v>136.19999999999999</v>
      </c>
      <c r="T152" s="2">
        <v>140.80000000000001</v>
      </c>
      <c r="U152" s="2">
        <v>0</v>
      </c>
      <c r="V152" s="2">
        <v>134.19999999999999</v>
      </c>
      <c r="W152" s="2">
        <v>134.1</v>
      </c>
      <c r="X152" s="2">
        <v>130.6</v>
      </c>
      <c r="Y152" s="2">
        <v>119.8</v>
      </c>
      <c r="Z152" s="2">
        <v>128.30000000000001</v>
      </c>
      <c r="AA152" s="2">
        <v>135.19999999999999</v>
      </c>
      <c r="AB152" s="2">
        <v>123.3</v>
      </c>
      <c r="AC152" s="2">
        <v>127.4</v>
      </c>
      <c r="AD152" s="2">
        <f>AVERAGE(All_India_Index_Upto_April23_CPI_data[[#This Row],[Cereals and products]:[Food and beverages]])</f>
        <v>132.96153846153848</v>
      </c>
      <c r="AE152" s="2">
        <f>AVERAGE(All_India_Index_Upto_April23_CPI_data[[#This Row],[Recreation and amusement]],All_India_Index_Upto_April23_CPI_data[[#This Row],[Pan, tobacco and intoxicants]])</f>
        <v>136.25</v>
      </c>
      <c r="AF152" s="2">
        <f>AVERAGE(All_India_Index_Upto_April23_CPI_data[[#This Row],[Household goods and services]],All_India_Index_Upto_April23_CPI_data[[#This Row],[Housing]])</f>
        <v>67.05</v>
      </c>
      <c r="AG152" s="2">
        <f>AVERAGE(All_India_Index_Upto_April23_CPI_data[[#This Row],[Personal care and effects]],All_India_Index_Upto_April23_CPI_data[[#This Row],[Health]])</f>
        <v>126.94999999999999</v>
      </c>
      <c r="AH152" s="2">
        <f>AVERAGE(All_India_Index_Upto_April23_CPI_data[[#This Row],[Clothing]:[Clothing and footwear]])</f>
        <v>139.53333333333333</v>
      </c>
      <c r="AI152" s="2">
        <v>132.80000000000001</v>
      </c>
      <c r="AJ152" s="1">
        <f>(All_India_Index_Upto_April23_CPI_data[[#This Row],[General index]]-AI149)/AI149</f>
        <v>1.5082956259428134E-3</v>
      </c>
    </row>
    <row r="153" spans="1:36" x14ac:dyDescent="0.25">
      <c r="A153" t="s">
        <v>32</v>
      </c>
      <c r="B153">
        <v>2017</v>
      </c>
      <c r="C153" t="s">
        <v>35</v>
      </c>
      <c r="D153" s="2">
        <v>132.69999999999999</v>
      </c>
      <c r="E153" s="2">
        <v>139.4</v>
      </c>
      <c r="F153" s="2">
        <v>128.4</v>
      </c>
      <c r="G153" s="2">
        <v>134.9</v>
      </c>
      <c r="H153" s="2">
        <v>114</v>
      </c>
      <c r="I153" s="2">
        <v>136.80000000000001</v>
      </c>
      <c r="J153" s="2">
        <v>122.2</v>
      </c>
      <c r="K153" s="2">
        <v>135.80000000000001</v>
      </c>
      <c r="L153" s="2">
        <v>120.3</v>
      </c>
      <c r="M153" s="2">
        <v>142.6</v>
      </c>
      <c r="N153" s="2">
        <v>123.6</v>
      </c>
      <c r="O153" s="2">
        <v>142.4</v>
      </c>
      <c r="P153" s="2">
        <v>132.6</v>
      </c>
      <c r="Q153" s="2">
        <v>147.5</v>
      </c>
      <c r="R153" s="2">
        <v>130.80000000000001</v>
      </c>
      <c r="S153" s="2">
        <v>122.8</v>
      </c>
      <c r="T153" s="2">
        <v>129.6</v>
      </c>
      <c r="U153" s="2">
        <v>131.1</v>
      </c>
      <c r="V153" s="2">
        <v>120.8</v>
      </c>
      <c r="W153" s="2">
        <v>125.6</v>
      </c>
      <c r="X153" s="2">
        <v>123.1</v>
      </c>
      <c r="Y153" s="2">
        <v>115.6</v>
      </c>
      <c r="Z153" s="2">
        <v>122.4</v>
      </c>
      <c r="AA153" s="2">
        <v>132.80000000000001</v>
      </c>
      <c r="AB153" s="2">
        <v>121.7</v>
      </c>
      <c r="AC153" s="2">
        <v>122.6</v>
      </c>
      <c r="AD153" s="2">
        <f>AVERAGE(All_India_Index_Upto_April23_CPI_data[[#This Row],[Cereals and products]:[Food and beverages]])</f>
        <v>131.2076923076923</v>
      </c>
      <c r="AE153" s="2">
        <f>AVERAGE(All_India_Index_Upto_April23_CPI_data[[#This Row],[Recreation and amusement]],All_India_Index_Upto_April23_CPI_data[[#This Row],[Pan, tobacco and intoxicants]])</f>
        <v>134.94999999999999</v>
      </c>
      <c r="AF153" s="2">
        <f>AVERAGE(All_India_Index_Upto_April23_CPI_data[[#This Row],[Household goods and services]],All_India_Index_Upto_April23_CPI_data[[#This Row],[Housing]])</f>
        <v>128.35</v>
      </c>
      <c r="AG153" s="2">
        <f>AVERAGE(All_India_Index_Upto_April23_CPI_data[[#This Row],[Personal care and effects]],All_India_Index_Upto_April23_CPI_data[[#This Row],[Health]])</f>
        <v>122.4</v>
      </c>
      <c r="AH153" s="2">
        <f>AVERAGE(All_India_Index_Upto_April23_CPI_data[[#This Row],[Clothing]:[Clothing and footwear]])</f>
        <v>127.73333333333335</v>
      </c>
      <c r="AI153" s="2">
        <v>128.69999999999999</v>
      </c>
      <c r="AJ153" s="1">
        <f>(All_India_Index_Upto_April23_CPI_data[[#This Row],[General index]]-AI150)/AI150</f>
        <v>3.9001560062402497E-3</v>
      </c>
    </row>
    <row r="154" spans="1:36" x14ac:dyDescent="0.25">
      <c r="A154" t="s">
        <v>33</v>
      </c>
      <c r="B154">
        <v>2017</v>
      </c>
      <c r="C154" t="s">
        <v>35</v>
      </c>
      <c r="D154" s="2">
        <v>133.30000000000001</v>
      </c>
      <c r="E154" s="2">
        <v>139</v>
      </c>
      <c r="F154" s="2">
        <v>128.6</v>
      </c>
      <c r="G154" s="2">
        <v>136.30000000000001</v>
      </c>
      <c r="H154" s="2">
        <v>118.8</v>
      </c>
      <c r="I154" s="2">
        <v>138.30000000000001</v>
      </c>
      <c r="J154" s="2">
        <v>120.5</v>
      </c>
      <c r="K154" s="2">
        <v>143.9</v>
      </c>
      <c r="L154" s="2">
        <v>118</v>
      </c>
      <c r="M154" s="2">
        <v>137.9</v>
      </c>
      <c r="N154" s="2">
        <v>127.2</v>
      </c>
      <c r="O154" s="2">
        <v>144</v>
      </c>
      <c r="P154" s="2">
        <v>133.1</v>
      </c>
      <c r="Q154" s="2">
        <v>145.1</v>
      </c>
      <c r="R154" s="2">
        <v>137.30000000000001</v>
      </c>
      <c r="S154" s="2">
        <v>130.6</v>
      </c>
      <c r="T154" s="2">
        <v>136.4</v>
      </c>
      <c r="U154" s="2">
        <v>131.1</v>
      </c>
      <c r="V154" s="2">
        <v>129.1</v>
      </c>
      <c r="W154" s="2">
        <v>130.1</v>
      </c>
      <c r="X154" s="2">
        <v>127.8</v>
      </c>
      <c r="Y154" s="2">
        <v>117.6</v>
      </c>
      <c r="Z154" s="2">
        <v>125</v>
      </c>
      <c r="AA154" s="2">
        <v>133.80000000000001</v>
      </c>
      <c r="AB154" s="2">
        <v>122.6</v>
      </c>
      <c r="AC154" s="2">
        <v>125.1</v>
      </c>
      <c r="AD154" s="2">
        <f>AVERAGE(All_India_Index_Upto_April23_CPI_data[[#This Row],[Cereals and products]:[Food and beverages]])</f>
        <v>132.22307692307692</v>
      </c>
      <c r="AE154" s="2">
        <f>AVERAGE(All_India_Index_Upto_April23_CPI_data[[#This Row],[Recreation and amusement]],All_India_Index_Upto_April23_CPI_data[[#This Row],[Pan, tobacco and intoxicants]])</f>
        <v>135.05000000000001</v>
      </c>
      <c r="AF154" s="2">
        <f>AVERAGE(All_India_Index_Upto_April23_CPI_data[[#This Row],[Household goods and services]],All_India_Index_Upto_April23_CPI_data[[#This Row],[Housing]])</f>
        <v>130.6</v>
      </c>
      <c r="AG154" s="2">
        <f>AVERAGE(All_India_Index_Upto_April23_CPI_data[[#This Row],[Personal care and effects]],All_India_Index_Upto_April23_CPI_data[[#This Row],[Health]])</f>
        <v>125.19999999999999</v>
      </c>
      <c r="AH154" s="2">
        <f>AVERAGE(All_India_Index_Upto_April23_CPI_data[[#This Row],[Clothing]:[Clothing and footwear]])</f>
        <v>134.76666666666665</v>
      </c>
      <c r="AI154" s="2">
        <v>130.9</v>
      </c>
      <c r="AJ154" s="1">
        <f>(All_India_Index_Upto_April23_CPI_data[[#This Row],[General index]]-AI151)/AI151</f>
        <v>2.2970903522206076E-3</v>
      </c>
    </row>
    <row r="155" spans="1:36" x14ac:dyDescent="0.25">
      <c r="A155" t="s">
        <v>30</v>
      </c>
      <c r="B155">
        <v>2017</v>
      </c>
      <c r="C155" t="s">
        <v>36</v>
      </c>
      <c r="D155" s="2">
        <v>133.19999999999999</v>
      </c>
      <c r="E155" s="2">
        <v>138.69999999999999</v>
      </c>
      <c r="F155" s="2">
        <v>127.1</v>
      </c>
      <c r="G155" s="2">
        <v>137.69999999999999</v>
      </c>
      <c r="H155" s="2">
        <v>121.3</v>
      </c>
      <c r="I155" s="2">
        <v>141.80000000000001</v>
      </c>
      <c r="J155" s="2">
        <v>121.5</v>
      </c>
      <c r="K155" s="2">
        <v>144.5</v>
      </c>
      <c r="L155" s="2">
        <v>117.4</v>
      </c>
      <c r="M155" s="2">
        <v>134.1</v>
      </c>
      <c r="N155" s="2">
        <v>130</v>
      </c>
      <c r="O155" s="2">
        <v>145.5</v>
      </c>
      <c r="P155" s="2">
        <v>133.5</v>
      </c>
      <c r="Q155" s="2">
        <v>144.4</v>
      </c>
      <c r="R155" s="2">
        <v>142.4</v>
      </c>
      <c r="S155" s="2">
        <v>136.80000000000001</v>
      </c>
      <c r="T155" s="2">
        <v>141.6</v>
      </c>
      <c r="U155" s="2">
        <v>0</v>
      </c>
      <c r="V155" s="2">
        <v>135</v>
      </c>
      <c r="W155" s="2">
        <v>134.30000000000001</v>
      </c>
      <c r="X155" s="2">
        <v>131</v>
      </c>
      <c r="Y155" s="2">
        <v>119.2</v>
      </c>
      <c r="Z155" s="2">
        <v>128.30000000000001</v>
      </c>
      <c r="AA155" s="2">
        <v>135.69999999999999</v>
      </c>
      <c r="AB155" s="2">
        <v>123.7</v>
      </c>
      <c r="AC155" s="2">
        <v>127.5</v>
      </c>
      <c r="AD155" s="2">
        <f>AVERAGE(All_India_Index_Upto_April23_CPI_data[[#This Row],[Cereals and products]:[Food and beverages]])</f>
        <v>132.7923076923077</v>
      </c>
      <c r="AE155" s="2">
        <f>AVERAGE(All_India_Index_Upto_April23_CPI_data[[#This Row],[Recreation and amusement]],All_India_Index_Upto_April23_CPI_data[[#This Row],[Pan, tobacco and intoxicants]])</f>
        <v>136.35000000000002</v>
      </c>
      <c r="AF155" s="2">
        <f>AVERAGE(All_India_Index_Upto_April23_CPI_data[[#This Row],[Household goods and services]],All_India_Index_Upto_April23_CPI_data[[#This Row],[Housing]])</f>
        <v>67.150000000000006</v>
      </c>
      <c r="AG155" s="2">
        <f>AVERAGE(All_India_Index_Upto_April23_CPI_data[[#This Row],[Personal care and effects]],All_India_Index_Upto_April23_CPI_data[[#This Row],[Health]])</f>
        <v>127.35</v>
      </c>
      <c r="AH155" s="2">
        <f>AVERAGE(All_India_Index_Upto_April23_CPI_data[[#This Row],[Clothing]:[Clothing and footwear]])</f>
        <v>140.26666666666668</v>
      </c>
      <c r="AI155" s="2">
        <v>132.9</v>
      </c>
      <c r="AJ155" s="1">
        <f>(All_India_Index_Upto_April23_CPI_data[[#This Row],[General index]]-AI152)/AI152</f>
        <v>7.5301204819272819E-4</v>
      </c>
    </row>
    <row r="156" spans="1:36" x14ac:dyDescent="0.25">
      <c r="A156" t="s">
        <v>32</v>
      </c>
      <c r="B156">
        <v>2017</v>
      </c>
      <c r="C156" t="s">
        <v>36</v>
      </c>
      <c r="D156" s="2">
        <v>132.69999999999999</v>
      </c>
      <c r="E156" s="2">
        <v>140.6</v>
      </c>
      <c r="F156" s="2">
        <v>124.5</v>
      </c>
      <c r="G156" s="2">
        <v>136.30000000000001</v>
      </c>
      <c r="H156" s="2">
        <v>113.5</v>
      </c>
      <c r="I156" s="2">
        <v>137.69999999999999</v>
      </c>
      <c r="J156" s="2">
        <v>127.1</v>
      </c>
      <c r="K156" s="2">
        <v>133.80000000000001</v>
      </c>
      <c r="L156" s="2">
        <v>120.8</v>
      </c>
      <c r="M156" s="2">
        <v>141.30000000000001</v>
      </c>
      <c r="N156" s="2">
        <v>123.8</v>
      </c>
      <c r="O156" s="2">
        <v>142.6</v>
      </c>
      <c r="P156" s="2">
        <v>133.4</v>
      </c>
      <c r="Q156" s="2">
        <v>148</v>
      </c>
      <c r="R156" s="2">
        <v>131.19999999999999</v>
      </c>
      <c r="S156" s="2">
        <v>123</v>
      </c>
      <c r="T156" s="2">
        <v>130</v>
      </c>
      <c r="U156" s="2">
        <v>131.69999999999999</v>
      </c>
      <c r="V156" s="2">
        <v>121.4</v>
      </c>
      <c r="W156" s="2">
        <v>126</v>
      </c>
      <c r="X156" s="2">
        <v>123.4</v>
      </c>
      <c r="Y156" s="2">
        <v>114.3</v>
      </c>
      <c r="Z156" s="2">
        <v>122.6</v>
      </c>
      <c r="AA156" s="2">
        <v>133.6</v>
      </c>
      <c r="AB156" s="2">
        <v>122.2</v>
      </c>
      <c r="AC156" s="2">
        <v>122.5</v>
      </c>
      <c r="AD156" s="2">
        <f>AVERAGE(All_India_Index_Upto_April23_CPI_data[[#This Row],[Cereals and products]:[Food and beverages]])</f>
        <v>131.3923076923077</v>
      </c>
      <c r="AE156" s="2">
        <f>AVERAGE(All_India_Index_Upto_April23_CPI_data[[#This Row],[Recreation and amusement]],All_India_Index_Upto_April23_CPI_data[[#This Row],[Pan, tobacco and intoxicants]])</f>
        <v>135.30000000000001</v>
      </c>
      <c r="AF156" s="2">
        <f>AVERAGE(All_India_Index_Upto_April23_CPI_data[[#This Row],[Household goods and services]],All_India_Index_Upto_April23_CPI_data[[#This Row],[Housing]])</f>
        <v>128.85</v>
      </c>
      <c r="AG156" s="2">
        <f>AVERAGE(All_India_Index_Upto_April23_CPI_data[[#This Row],[Personal care and effects]],All_India_Index_Upto_April23_CPI_data[[#This Row],[Health]])</f>
        <v>122.80000000000001</v>
      </c>
      <c r="AH156" s="2">
        <f>AVERAGE(All_India_Index_Upto_April23_CPI_data[[#This Row],[Clothing]:[Clothing and footwear]])</f>
        <v>128.06666666666666</v>
      </c>
      <c r="AI156" s="2">
        <v>129.1</v>
      </c>
      <c r="AJ156" s="1">
        <f>(All_India_Index_Upto_April23_CPI_data[[#This Row],[General index]]-AI153)/AI153</f>
        <v>3.1080031080031522E-3</v>
      </c>
    </row>
    <row r="157" spans="1:36" x14ac:dyDescent="0.25">
      <c r="A157" t="s">
        <v>33</v>
      </c>
      <c r="B157">
        <v>2017</v>
      </c>
      <c r="C157" t="s">
        <v>36</v>
      </c>
      <c r="D157" s="2">
        <v>133</v>
      </c>
      <c r="E157" s="2">
        <v>139.4</v>
      </c>
      <c r="F157" s="2">
        <v>126.1</v>
      </c>
      <c r="G157" s="2">
        <v>137.19999999999999</v>
      </c>
      <c r="H157" s="2">
        <v>118.4</v>
      </c>
      <c r="I157" s="2">
        <v>139.9</v>
      </c>
      <c r="J157" s="2">
        <v>123.4</v>
      </c>
      <c r="K157" s="2">
        <v>140.9</v>
      </c>
      <c r="L157" s="2">
        <v>118.5</v>
      </c>
      <c r="M157" s="2">
        <v>136.5</v>
      </c>
      <c r="N157" s="2">
        <v>127.4</v>
      </c>
      <c r="O157" s="2">
        <v>144.19999999999999</v>
      </c>
      <c r="P157" s="2">
        <v>133.5</v>
      </c>
      <c r="Q157" s="2">
        <v>145.4</v>
      </c>
      <c r="R157" s="2">
        <v>138</v>
      </c>
      <c r="S157" s="2">
        <v>131.1</v>
      </c>
      <c r="T157" s="2">
        <v>137</v>
      </c>
      <c r="U157" s="2">
        <v>131.69999999999999</v>
      </c>
      <c r="V157" s="2">
        <v>129.80000000000001</v>
      </c>
      <c r="W157" s="2">
        <v>130.4</v>
      </c>
      <c r="X157" s="2">
        <v>128.1</v>
      </c>
      <c r="Y157" s="2">
        <v>116.6</v>
      </c>
      <c r="Z157" s="2">
        <v>125.1</v>
      </c>
      <c r="AA157" s="2">
        <v>134.5</v>
      </c>
      <c r="AB157" s="2">
        <v>123.1</v>
      </c>
      <c r="AC157" s="2">
        <v>125.1</v>
      </c>
      <c r="AD157" s="2">
        <f>AVERAGE(All_India_Index_Upto_April23_CPI_data[[#This Row],[Cereals and products]:[Food and beverages]])</f>
        <v>132.1846153846154</v>
      </c>
      <c r="AE157" s="2">
        <f>AVERAGE(All_India_Index_Upto_April23_CPI_data[[#This Row],[Recreation and amusement]],All_India_Index_Upto_April23_CPI_data[[#This Row],[Pan, tobacco and intoxicants]])</f>
        <v>135.25</v>
      </c>
      <c r="AF157" s="2">
        <f>AVERAGE(All_India_Index_Upto_April23_CPI_data[[#This Row],[Household goods and services]],All_India_Index_Upto_April23_CPI_data[[#This Row],[Housing]])</f>
        <v>131.05000000000001</v>
      </c>
      <c r="AG157" s="2">
        <f>AVERAGE(All_India_Index_Upto_April23_CPI_data[[#This Row],[Personal care and effects]],All_India_Index_Upto_April23_CPI_data[[#This Row],[Health]])</f>
        <v>125.6</v>
      </c>
      <c r="AH157" s="2">
        <f>AVERAGE(All_India_Index_Upto_April23_CPI_data[[#This Row],[Clothing]:[Clothing and footwear]])</f>
        <v>135.36666666666667</v>
      </c>
      <c r="AI157" s="2">
        <v>131.1</v>
      </c>
      <c r="AJ157" s="1">
        <f>(All_India_Index_Upto_April23_CPI_data[[#This Row],[General index]]-AI154)/AI154</f>
        <v>1.5278838808249703E-3</v>
      </c>
    </row>
    <row r="158" spans="1:36" x14ac:dyDescent="0.25">
      <c r="A158" t="s">
        <v>30</v>
      </c>
      <c r="B158">
        <v>2017</v>
      </c>
      <c r="C158" t="s">
        <v>37</v>
      </c>
      <c r="D158" s="2">
        <v>133.1</v>
      </c>
      <c r="E158" s="2">
        <v>140.30000000000001</v>
      </c>
      <c r="F158" s="2">
        <v>126.8</v>
      </c>
      <c r="G158" s="2">
        <v>138.19999999999999</v>
      </c>
      <c r="H158" s="2">
        <v>120.8</v>
      </c>
      <c r="I158" s="2">
        <v>140.19999999999999</v>
      </c>
      <c r="J158" s="2">
        <v>123.8</v>
      </c>
      <c r="K158" s="2">
        <v>141.80000000000001</v>
      </c>
      <c r="L158" s="2">
        <v>118.6</v>
      </c>
      <c r="M158" s="2">
        <v>134</v>
      </c>
      <c r="N158" s="2">
        <v>130.30000000000001</v>
      </c>
      <c r="O158" s="2">
        <v>145.80000000000001</v>
      </c>
      <c r="P158" s="2">
        <v>133.80000000000001</v>
      </c>
      <c r="Q158" s="2">
        <v>145.5</v>
      </c>
      <c r="R158" s="2">
        <v>142.5</v>
      </c>
      <c r="S158" s="2">
        <v>137.30000000000001</v>
      </c>
      <c r="T158" s="2">
        <v>141.80000000000001</v>
      </c>
      <c r="U158" s="2">
        <v>0</v>
      </c>
      <c r="V158" s="2">
        <v>135</v>
      </c>
      <c r="W158" s="2">
        <v>134.9</v>
      </c>
      <c r="X158" s="2">
        <v>131.4</v>
      </c>
      <c r="Y158" s="2">
        <v>119.4</v>
      </c>
      <c r="Z158" s="2">
        <v>129.4</v>
      </c>
      <c r="AA158" s="2">
        <v>136.30000000000001</v>
      </c>
      <c r="AB158" s="2">
        <v>123.7</v>
      </c>
      <c r="AC158" s="2">
        <v>127.9</v>
      </c>
      <c r="AD158" s="2">
        <f>AVERAGE(All_India_Index_Upto_April23_CPI_data[[#This Row],[Cereals and products]:[Food and beverages]])</f>
        <v>132.88461538461536</v>
      </c>
      <c r="AE158" s="2">
        <f>AVERAGE(All_India_Index_Upto_April23_CPI_data[[#This Row],[Recreation and amusement]],All_India_Index_Upto_April23_CPI_data[[#This Row],[Pan, tobacco and intoxicants]])</f>
        <v>137.44999999999999</v>
      </c>
      <c r="AF158" s="2">
        <f>AVERAGE(All_India_Index_Upto_April23_CPI_data[[#This Row],[Household goods and services]],All_India_Index_Upto_April23_CPI_data[[#This Row],[Housing]])</f>
        <v>67.45</v>
      </c>
      <c r="AG158" s="2">
        <f>AVERAGE(All_India_Index_Upto_April23_CPI_data[[#This Row],[Personal care and effects]],All_India_Index_Upto_April23_CPI_data[[#This Row],[Health]])</f>
        <v>127.55000000000001</v>
      </c>
      <c r="AH158" s="2">
        <f>AVERAGE(All_India_Index_Upto_April23_CPI_data[[#This Row],[Clothing]:[Clothing and footwear]])</f>
        <v>140.53333333333333</v>
      </c>
      <c r="AI158" s="2">
        <v>133.30000000000001</v>
      </c>
      <c r="AJ158" s="1">
        <f>(All_India_Index_Upto_April23_CPI_data[[#This Row],[General index]]-AI155)/AI155</f>
        <v>3.0097817908202084E-3</v>
      </c>
    </row>
    <row r="159" spans="1:36" x14ac:dyDescent="0.25">
      <c r="A159" t="s">
        <v>32</v>
      </c>
      <c r="B159">
        <v>2017</v>
      </c>
      <c r="C159" t="s">
        <v>37</v>
      </c>
      <c r="D159" s="2">
        <v>132.6</v>
      </c>
      <c r="E159" s="2">
        <v>144.1</v>
      </c>
      <c r="F159" s="2">
        <v>125.6</v>
      </c>
      <c r="G159" s="2">
        <v>136.80000000000001</v>
      </c>
      <c r="H159" s="2">
        <v>113.4</v>
      </c>
      <c r="I159" s="2">
        <v>135.19999999999999</v>
      </c>
      <c r="J159" s="2">
        <v>129.19999999999999</v>
      </c>
      <c r="K159" s="2">
        <v>131.5</v>
      </c>
      <c r="L159" s="2">
        <v>121</v>
      </c>
      <c r="M159" s="2">
        <v>139.9</v>
      </c>
      <c r="N159" s="2">
        <v>123.8</v>
      </c>
      <c r="O159" s="2">
        <v>142.9</v>
      </c>
      <c r="P159" s="2">
        <v>133.6</v>
      </c>
      <c r="Q159" s="2">
        <v>148.30000000000001</v>
      </c>
      <c r="R159" s="2">
        <v>131.5</v>
      </c>
      <c r="S159" s="2">
        <v>123.2</v>
      </c>
      <c r="T159" s="2">
        <v>130.19999999999999</v>
      </c>
      <c r="U159" s="2">
        <v>132.1</v>
      </c>
      <c r="V159" s="2">
        <v>120.1</v>
      </c>
      <c r="W159" s="2">
        <v>126.5</v>
      </c>
      <c r="X159" s="2">
        <v>123.6</v>
      </c>
      <c r="Y159" s="2">
        <v>114.3</v>
      </c>
      <c r="Z159" s="2">
        <v>122.8</v>
      </c>
      <c r="AA159" s="2">
        <v>133.80000000000001</v>
      </c>
      <c r="AB159" s="2">
        <v>122</v>
      </c>
      <c r="AC159" s="2">
        <v>122.6</v>
      </c>
      <c r="AD159" s="2">
        <f>AVERAGE(All_India_Index_Upto_April23_CPI_data[[#This Row],[Cereals and products]:[Food and beverages]])</f>
        <v>131.50769230769231</v>
      </c>
      <c r="AE159" s="2">
        <f>AVERAGE(All_India_Index_Upto_April23_CPI_data[[#This Row],[Recreation and amusement]],All_India_Index_Upto_April23_CPI_data[[#This Row],[Pan, tobacco and intoxicants]])</f>
        <v>135.55000000000001</v>
      </c>
      <c r="AF159" s="2">
        <f>AVERAGE(All_India_Index_Upto_April23_CPI_data[[#This Row],[Household goods and services]],All_India_Index_Upto_April23_CPI_data[[#This Row],[Housing]])</f>
        <v>129.30000000000001</v>
      </c>
      <c r="AG159" s="2">
        <f>AVERAGE(All_India_Index_Upto_April23_CPI_data[[#This Row],[Personal care and effects]],All_India_Index_Upto_April23_CPI_data[[#This Row],[Health]])</f>
        <v>122.8</v>
      </c>
      <c r="AH159" s="2">
        <f>AVERAGE(All_India_Index_Upto_April23_CPI_data[[#This Row],[Clothing]:[Clothing and footwear]])</f>
        <v>128.29999999999998</v>
      </c>
      <c r="AI159" s="2">
        <v>129.30000000000001</v>
      </c>
      <c r="AJ159" s="1">
        <f>(All_India_Index_Upto_April23_CPI_data[[#This Row],[General index]]-AI156)/AI156</f>
        <v>1.54918667699471E-3</v>
      </c>
    </row>
    <row r="160" spans="1:36" x14ac:dyDescent="0.25">
      <c r="A160" t="s">
        <v>33</v>
      </c>
      <c r="B160">
        <v>2017</v>
      </c>
      <c r="C160" t="s">
        <v>37</v>
      </c>
      <c r="D160" s="2">
        <v>132.9</v>
      </c>
      <c r="E160" s="2">
        <v>141.6</v>
      </c>
      <c r="F160" s="2">
        <v>126.3</v>
      </c>
      <c r="G160" s="2">
        <v>137.69999999999999</v>
      </c>
      <c r="H160" s="2">
        <v>118.1</v>
      </c>
      <c r="I160" s="2">
        <v>137.9</v>
      </c>
      <c r="J160" s="2">
        <v>125.6</v>
      </c>
      <c r="K160" s="2">
        <v>138.30000000000001</v>
      </c>
      <c r="L160" s="2">
        <v>119.4</v>
      </c>
      <c r="M160" s="2">
        <v>136</v>
      </c>
      <c r="N160" s="2">
        <v>127.6</v>
      </c>
      <c r="O160" s="2">
        <v>144.5</v>
      </c>
      <c r="P160" s="2">
        <v>133.69999999999999</v>
      </c>
      <c r="Q160" s="2">
        <v>146.19999999999999</v>
      </c>
      <c r="R160" s="2">
        <v>138.19999999999999</v>
      </c>
      <c r="S160" s="2">
        <v>131.4</v>
      </c>
      <c r="T160" s="2">
        <v>137.19999999999999</v>
      </c>
      <c r="U160" s="2">
        <v>132.1</v>
      </c>
      <c r="V160" s="2">
        <v>129.4</v>
      </c>
      <c r="W160" s="2">
        <v>130.9</v>
      </c>
      <c r="X160" s="2">
        <v>128.4</v>
      </c>
      <c r="Y160" s="2">
        <v>116.7</v>
      </c>
      <c r="Z160" s="2">
        <v>125.7</v>
      </c>
      <c r="AA160" s="2">
        <v>134.80000000000001</v>
      </c>
      <c r="AB160" s="2">
        <v>123</v>
      </c>
      <c r="AC160" s="2">
        <v>125.3</v>
      </c>
      <c r="AD160" s="2">
        <f>AVERAGE(All_India_Index_Upto_April23_CPI_data[[#This Row],[Cereals and products]:[Food and beverages]])</f>
        <v>132.27692307692308</v>
      </c>
      <c r="AE160" s="2">
        <f>AVERAGE(All_India_Index_Upto_April23_CPI_data[[#This Row],[Recreation and amusement]],All_India_Index_Upto_April23_CPI_data[[#This Row],[Pan, tobacco and intoxicants]])</f>
        <v>135.94999999999999</v>
      </c>
      <c r="AF160" s="2">
        <f>AVERAGE(All_India_Index_Upto_April23_CPI_data[[#This Row],[Household goods and services]],All_India_Index_Upto_April23_CPI_data[[#This Row],[Housing]])</f>
        <v>131.5</v>
      </c>
      <c r="AG160" s="2">
        <f>AVERAGE(All_India_Index_Upto_April23_CPI_data[[#This Row],[Personal care and effects]],All_India_Index_Upto_April23_CPI_data[[#This Row],[Health]])</f>
        <v>125.7</v>
      </c>
      <c r="AH160" s="2">
        <f>AVERAGE(All_India_Index_Upto_April23_CPI_data[[#This Row],[Clothing]:[Clothing and footwear]])</f>
        <v>135.6</v>
      </c>
      <c r="AI160" s="2">
        <v>131.4</v>
      </c>
      <c r="AJ160" s="1">
        <f>(All_India_Index_Upto_April23_CPI_data[[#This Row],[General index]]-AI157)/AI157</f>
        <v>2.2883295194508877E-3</v>
      </c>
    </row>
    <row r="161" spans="1:36" x14ac:dyDescent="0.25">
      <c r="A161" t="s">
        <v>30</v>
      </c>
      <c r="B161">
        <v>2017</v>
      </c>
      <c r="C161" t="s">
        <v>38</v>
      </c>
      <c r="D161" s="2">
        <v>133.5</v>
      </c>
      <c r="E161" s="2">
        <v>143.69999999999999</v>
      </c>
      <c r="F161" s="2">
        <v>128</v>
      </c>
      <c r="G161" s="2">
        <v>138.6</v>
      </c>
      <c r="H161" s="2">
        <v>120.9</v>
      </c>
      <c r="I161" s="2">
        <v>140.9</v>
      </c>
      <c r="J161" s="2">
        <v>128.80000000000001</v>
      </c>
      <c r="K161" s="2">
        <v>140.19999999999999</v>
      </c>
      <c r="L161" s="2">
        <v>118.9</v>
      </c>
      <c r="M161" s="2">
        <v>133.5</v>
      </c>
      <c r="N161" s="2">
        <v>130.4</v>
      </c>
      <c r="O161" s="2">
        <v>146.5</v>
      </c>
      <c r="P161" s="2">
        <v>134.9</v>
      </c>
      <c r="Q161" s="2">
        <v>145.80000000000001</v>
      </c>
      <c r="R161" s="2">
        <v>143.1</v>
      </c>
      <c r="S161" s="2">
        <v>137.69999999999999</v>
      </c>
      <c r="T161" s="2">
        <v>142.30000000000001</v>
      </c>
      <c r="U161" s="2">
        <v>0</v>
      </c>
      <c r="V161" s="2">
        <v>134.80000000000001</v>
      </c>
      <c r="W161" s="2">
        <v>135.19999999999999</v>
      </c>
      <c r="X161" s="2">
        <v>131.30000000000001</v>
      </c>
      <c r="Y161" s="2">
        <v>119.4</v>
      </c>
      <c r="Z161" s="2">
        <v>129.80000000000001</v>
      </c>
      <c r="AA161" s="2">
        <v>136.9</v>
      </c>
      <c r="AB161" s="2">
        <v>124.1</v>
      </c>
      <c r="AC161" s="2">
        <v>128.1</v>
      </c>
      <c r="AD161" s="2">
        <f>AVERAGE(All_India_Index_Upto_April23_CPI_data[[#This Row],[Cereals and products]:[Food and beverages]])</f>
        <v>133.75384615384615</v>
      </c>
      <c r="AE161" s="2">
        <f>AVERAGE(All_India_Index_Upto_April23_CPI_data[[#This Row],[Recreation and amusement]],All_India_Index_Upto_April23_CPI_data[[#This Row],[Pan, tobacco and intoxicants]])</f>
        <v>137.80000000000001</v>
      </c>
      <c r="AF161" s="2">
        <f>AVERAGE(All_India_Index_Upto_April23_CPI_data[[#This Row],[Household goods and services]],All_India_Index_Upto_April23_CPI_data[[#This Row],[Housing]])</f>
        <v>67.599999999999994</v>
      </c>
      <c r="AG161" s="2">
        <f>AVERAGE(All_India_Index_Upto_April23_CPI_data[[#This Row],[Personal care and effects]],All_India_Index_Upto_April23_CPI_data[[#This Row],[Health]])</f>
        <v>127.7</v>
      </c>
      <c r="AH161" s="2">
        <f>AVERAGE(All_India_Index_Upto_April23_CPI_data[[#This Row],[Clothing]:[Clothing and footwear]])</f>
        <v>141.03333333333333</v>
      </c>
      <c r="AI161" s="2">
        <v>133.9</v>
      </c>
      <c r="AJ161" s="1">
        <f>(All_India_Index_Upto_April23_CPI_data[[#This Row],[General index]]-AI158)/AI158</f>
        <v>4.5011252813202873E-3</v>
      </c>
    </row>
    <row r="162" spans="1:36" x14ac:dyDescent="0.25">
      <c r="A162" t="s">
        <v>32</v>
      </c>
      <c r="B162">
        <v>2017</v>
      </c>
      <c r="C162" t="s">
        <v>38</v>
      </c>
      <c r="D162" s="2">
        <v>132.9</v>
      </c>
      <c r="E162" s="2">
        <v>148.69999999999999</v>
      </c>
      <c r="F162" s="2">
        <v>128.30000000000001</v>
      </c>
      <c r="G162" s="2">
        <v>137.30000000000001</v>
      </c>
      <c r="H162" s="2">
        <v>113.5</v>
      </c>
      <c r="I162" s="2">
        <v>137.19999999999999</v>
      </c>
      <c r="J162" s="2">
        <v>142.19999999999999</v>
      </c>
      <c r="K162" s="2">
        <v>128.19999999999999</v>
      </c>
      <c r="L162" s="2">
        <v>120.9</v>
      </c>
      <c r="M162" s="2">
        <v>138.80000000000001</v>
      </c>
      <c r="N162" s="2">
        <v>124.2</v>
      </c>
      <c r="O162" s="2">
        <v>143.1</v>
      </c>
      <c r="P162" s="2">
        <v>135.69999999999999</v>
      </c>
      <c r="Q162" s="2">
        <v>148.6</v>
      </c>
      <c r="R162" s="2">
        <v>131.5</v>
      </c>
      <c r="S162" s="2">
        <v>123.2</v>
      </c>
      <c r="T162" s="2">
        <v>130.19999999999999</v>
      </c>
      <c r="U162" s="2">
        <v>131.4</v>
      </c>
      <c r="V162" s="2">
        <v>119</v>
      </c>
      <c r="W162" s="2">
        <v>126.8</v>
      </c>
      <c r="X162" s="2">
        <v>123.8</v>
      </c>
      <c r="Y162" s="2">
        <v>113.9</v>
      </c>
      <c r="Z162" s="2">
        <v>122.9</v>
      </c>
      <c r="AA162" s="2">
        <v>134.30000000000001</v>
      </c>
      <c r="AB162" s="2">
        <v>122.5</v>
      </c>
      <c r="AC162" s="2">
        <v>122.7</v>
      </c>
      <c r="AD162" s="2">
        <f>AVERAGE(All_India_Index_Upto_April23_CPI_data[[#This Row],[Cereals and products]:[Food and beverages]])</f>
        <v>133.15384615384616</v>
      </c>
      <c r="AE162" s="2">
        <f>AVERAGE(All_India_Index_Upto_April23_CPI_data[[#This Row],[Recreation and amusement]],All_India_Index_Upto_April23_CPI_data[[#This Row],[Pan, tobacco and intoxicants]])</f>
        <v>135.75</v>
      </c>
      <c r="AF162" s="2">
        <f>AVERAGE(All_India_Index_Upto_April23_CPI_data[[#This Row],[Household goods and services]],All_India_Index_Upto_April23_CPI_data[[#This Row],[Housing]])</f>
        <v>129.1</v>
      </c>
      <c r="AG162" s="2">
        <f>AVERAGE(All_India_Index_Upto_April23_CPI_data[[#This Row],[Personal care and effects]],All_India_Index_Upto_April23_CPI_data[[#This Row],[Health]])</f>
        <v>123.15</v>
      </c>
      <c r="AH162" s="2">
        <f>AVERAGE(All_India_Index_Upto_April23_CPI_data[[#This Row],[Clothing]:[Clothing and footwear]])</f>
        <v>128.29999999999998</v>
      </c>
      <c r="AI162" s="2">
        <v>129.9</v>
      </c>
      <c r="AJ162" s="1">
        <f>(All_India_Index_Upto_April23_CPI_data[[#This Row],[General index]]-AI159)/AI159</f>
        <v>4.6403712296983314E-3</v>
      </c>
    </row>
    <row r="163" spans="1:36" x14ac:dyDescent="0.25">
      <c r="A163" t="s">
        <v>33</v>
      </c>
      <c r="B163">
        <v>2017</v>
      </c>
      <c r="C163" t="s">
        <v>38</v>
      </c>
      <c r="D163" s="2">
        <v>133.30000000000001</v>
      </c>
      <c r="E163" s="2">
        <v>145.5</v>
      </c>
      <c r="F163" s="2">
        <v>128.1</v>
      </c>
      <c r="G163" s="2">
        <v>138.1</v>
      </c>
      <c r="H163" s="2">
        <v>118.2</v>
      </c>
      <c r="I163" s="2">
        <v>139.19999999999999</v>
      </c>
      <c r="J163" s="2">
        <v>133.30000000000001</v>
      </c>
      <c r="K163" s="2">
        <v>136.19999999999999</v>
      </c>
      <c r="L163" s="2">
        <v>119.6</v>
      </c>
      <c r="M163" s="2">
        <v>135.30000000000001</v>
      </c>
      <c r="N163" s="2">
        <v>127.8</v>
      </c>
      <c r="O163" s="2">
        <v>144.9</v>
      </c>
      <c r="P163" s="2">
        <v>135.19999999999999</v>
      </c>
      <c r="Q163" s="2">
        <v>146.5</v>
      </c>
      <c r="R163" s="2">
        <v>138.5</v>
      </c>
      <c r="S163" s="2">
        <v>131.69999999999999</v>
      </c>
      <c r="T163" s="2">
        <v>137.5</v>
      </c>
      <c r="U163" s="2">
        <v>131.4</v>
      </c>
      <c r="V163" s="2">
        <v>128.80000000000001</v>
      </c>
      <c r="W163" s="2">
        <v>131.19999999999999</v>
      </c>
      <c r="X163" s="2">
        <v>128.5</v>
      </c>
      <c r="Y163" s="2">
        <v>116.5</v>
      </c>
      <c r="Z163" s="2">
        <v>125.9</v>
      </c>
      <c r="AA163" s="2">
        <v>135.4</v>
      </c>
      <c r="AB163" s="2">
        <v>123.4</v>
      </c>
      <c r="AC163" s="2">
        <v>125.5</v>
      </c>
      <c r="AD163" s="2">
        <f>AVERAGE(All_India_Index_Upto_April23_CPI_data[[#This Row],[Cereals and products]:[Food and beverages]])</f>
        <v>133.43846153846155</v>
      </c>
      <c r="AE163" s="2">
        <f>AVERAGE(All_India_Index_Upto_April23_CPI_data[[#This Row],[Recreation and amusement]],All_India_Index_Upto_April23_CPI_data[[#This Row],[Pan, tobacco and intoxicants]])</f>
        <v>136.19999999999999</v>
      </c>
      <c r="AF163" s="2">
        <f>AVERAGE(All_India_Index_Upto_April23_CPI_data[[#This Row],[Household goods and services]],All_India_Index_Upto_April23_CPI_data[[#This Row],[Housing]])</f>
        <v>131.30000000000001</v>
      </c>
      <c r="AG163" s="2">
        <f>AVERAGE(All_India_Index_Upto_April23_CPI_data[[#This Row],[Personal care and effects]],All_India_Index_Upto_April23_CPI_data[[#This Row],[Health]])</f>
        <v>125.95</v>
      </c>
      <c r="AH163" s="2">
        <f>AVERAGE(All_India_Index_Upto_April23_CPI_data[[#This Row],[Clothing]:[Clothing and footwear]])</f>
        <v>135.9</v>
      </c>
      <c r="AI163" s="2">
        <v>132</v>
      </c>
      <c r="AJ163" s="1">
        <f>(All_India_Index_Upto_April23_CPI_data[[#This Row],[General index]]-AI160)/AI160</f>
        <v>4.5662100456620568E-3</v>
      </c>
    </row>
    <row r="164" spans="1:36" x14ac:dyDescent="0.25">
      <c r="A164" t="s">
        <v>30</v>
      </c>
      <c r="B164">
        <v>2017</v>
      </c>
      <c r="C164" t="s">
        <v>39</v>
      </c>
      <c r="D164" s="2">
        <v>134</v>
      </c>
      <c r="E164" s="2">
        <v>144.19999999999999</v>
      </c>
      <c r="F164" s="2">
        <v>129.80000000000001</v>
      </c>
      <c r="G164" s="2">
        <v>139</v>
      </c>
      <c r="H164" s="2">
        <v>120.9</v>
      </c>
      <c r="I164" s="2">
        <v>143.9</v>
      </c>
      <c r="J164" s="2">
        <v>151.5</v>
      </c>
      <c r="K164" s="2">
        <v>138.1</v>
      </c>
      <c r="L164" s="2">
        <v>120</v>
      </c>
      <c r="M164" s="2">
        <v>133.9</v>
      </c>
      <c r="N164" s="2">
        <v>131.4</v>
      </c>
      <c r="O164" s="2">
        <v>147.69999999999999</v>
      </c>
      <c r="P164" s="2">
        <v>138.5</v>
      </c>
      <c r="Q164" s="2">
        <v>147.4</v>
      </c>
      <c r="R164" s="2">
        <v>144.30000000000001</v>
      </c>
      <c r="S164" s="2">
        <v>138.1</v>
      </c>
      <c r="T164" s="2">
        <v>143.5</v>
      </c>
      <c r="U164" s="2">
        <v>0</v>
      </c>
      <c r="V164" s="2">
        <v>135.30000000000001</v>
      </c>
      <c r="W164" s="2">
        <v>136.1</v>
      </c>
      <c r="X164" s="2">
        <v>132.1</v>
      </c>
      <c r="Y164" s="2">
        <v>119.1</v>
      </c>
      <c r="Z164" s="2">
        <v>130.6</v>
      </c>
      <c r="AA164" s="2">
        <v>138.6</v>
      </c>
      <c r="AB164" s="2">
        <v>124.4</v>
      </c>
      <c r="AC164" s="2">
        <v>128.6</v>
      </c>
      <c r="AD164" s="2">
        <f>AVERAGE(All_India_Index_Upto_April23_CPI_data[[#This Row],[Cereals and products]:[Food and beverages]])</f>
        <v>136.37692307692308</v>
      </c>
      <c r="AE164" s="2">
        <f>AVERAGE(All_India_Index_Upto_April23_CPI_data[[#This Row],[Recreation and amusement]],All_India_Index_Upto_April23_CPI_data[[#This Row],[Pan, tobacco and intoxicants]])</f>
        <v>139</v>
      </c>
      <c r="AF164" s="2">
        <f>AVERAGE(All_India_Index_Upto_April23_CPI_data[[#This Row],[Household goods and services]],All_India_Index_Upto_April23_CPI_data[[#This Row],[Housing]])</f>
        <v>68.05</v>
      </c>
      <c r="AG164" s="2">
        <f>AVERAGE(All_India_Index_Upto_April23_CPI_data[[#This Row],[Personal care and effects]],All_India_Index_Upto_April23_CPI_data[[#This Row],[Health]])</f>
        <v>128.25</v>
      </c>
      <c r="AH164" s="2">
        <f>AVERAGE(All_India_Index_Upto_April23_CPI_data[[#This Row],[Clothing]:[Clothing and footwear]])</f>
        <v>141.96666666666667</v>
      </c>
      <c r="AI164" s="2">
        <v>136.19999999999999</v>
      </c>
      <c r="AJ164" s="1">
        <f>(All_India_Index_Upto_April23_CPI_data[[#This Row],[General index]]-AI161)/AI161</f>
        <v>1.7176997759521903E-2</v>
      </c>
    </row>
    <row r="165" spans="1:36" x14ac:dyDescent="0.25">
      <c r="A165" t="s">
        <v>32</v>
      </c>
      <c r="B165">
        <v>2017</v>
      </c>
      <c r="C165" t="s">
        <v>39</v>
      </c>
      <c r="D165" s="2">
        <v>132.80000000000001</v>
      </c>
      <c r="E165" s="2">
        <v>148.4</v>
      </c>
      <c r="F165" s="2">
        <v>129.4</v>
      </c>
      <c r="G165" s="2">
        <v>137.69999999999999</v>
      </c>
      <c r="H165" s="2">
        <v>113.4</v>
      </c>
      <c r="I165" s="2">
        <v>139.4</v>
      </c>
      <c r="J165" s="2">
        <v>175.1</v>
      </c>
      <c r="K165" s="2">
        <v>124.7</v>
      </c>
      <c r="L165" s="2">
        <v>121.5</v>
      </c>
      <c r="M165" s="2">
        <v>137.80000000000001</v>
      </c>
      <c r="N165" s="2">
        <v>124.4</v>
      </c>
      <c r="O165" s="2">
        <v>143.69999999999999</v>
      </c>
      <c r="P165" s="2">
        <v>139.80000000000001</v>
      </c>
      <c r="Q165" s="2">
        <v>150.5</v>
      </c>
      <c r="R165" s="2">
        <v>131.6</v>
      </c>
      <c r="S165" s="2">
        <v>123.7</v>
      </c>
      <c r="T165" s="2">
        <v>130.4</v>
      </c>
      <c r="U165" s="2">
        <v>132.6</v>
      </c>
      <c r="V165" s="2">
        <v>119.7</v>
      </c>
      <c r="W165" s="2">
        <v>127.2</v>
      </c>
      <c r="X165" s="2">
        <v>125</v>
      </c>
      <c r="Y165" s="2">
        <v>113.2</v>
      </c>
      <c r="Z165" s="2">
        <v>123.5</v>
      </c>
      <c r="AA165" s="2">
        <v>135.5</v>
      </c>
      <c r="AB165" s="2">
        <v>122.4</v>
      </c>
      <c r="AC165" s="2">
        <v>123</v>
      </c>
      <c r="AD165" s="2">
        <f>AVERAGE(All_India_Index_Upto_April23_CPI_data[[#This Row],[Cereals and products]:[Food and beverages]])</f>
        <v>136.00769230769231</v>
      </c>
      <c r="AE165" s="2">
        <f>AVERAGE(All_India_Index_Upto_April23_CPI_data[[#This Row],[Recreation and amusement]],All_India_Index_Upto_April23_CPI_data[[#This Row],[Pan, tobacco and intoxicants]])</f>
        <v>137</v>
      </c>
      <c r="AF165" s="2">
        <f>AVERAGE(All_India_Index_Upto_April23_CPI_data[[#This Row],[Household goods and services]],All_India_Index_Upto_April23_CPI_data[[#This Row],[Housing]])</f>
        <v>129.9</v>
      </c>
      <c r="AG165" s="2">
        <f>AVERAGE(All_India_Index_Upto_April23_CPI_data[[#This Row],[Personal care and effects]],All_India_Index_Upto_April23_CPI_data[[#This Row],[Health]])</f>
        <v>123.7</v>
      </c>
      <c r="AH165" s="2">
        <f>AVERAGE(All_India_Index_Upto_April23_CPI_data[[#This Row],[Clothing]:[Clothing and footwear]])</f>
        <v>128.56666666666669</v>
      </c>
      <c r="AI165" s="2">
        <v>131.80000000000001</v>
      </c>
      <c r="AJ165" s="1">
        <f>(All_India_Index_Upto_April23_CPI_data[[#This Row],[General index]]-AI162)/AI162</f>
        <v>1.4626635873749081E-2</v>
      </c>
    </row>
    <row r="166" spans="1:36" x14ac:dyDescent="0.25">
      <c r="A166" t="s">
        <v>33</v>
      </c>
      <c r="B166">
        <v>2017</v>
      </c>
      <c r="C166" t="s">
        <v>39</v>
      </c>
      <c r="D166" s="2">
        <v>133.6</v>
      </c>
      <c r="E166" s="2">
        <v>145.69999999999999</v>
      </c>
      <c r="F166" s="2">
        <v>129.6</v>
      </c>
      <c r="G166" s="2">
        <v>138.5</v>
      </c>
      <c r="H166" s="2">
        <v>118.1</v>
      </c>
      <c r="I166" s="2">
        <v>141.80000000000001</v>
      </c>
      <c r="J166" s="2">
        <v>159.5</v>
      </c>
      <c r="K166" s="2">
        <v>133.6</v>
      </c>
      <c r="L166" s="2">
        <v>120.5</v>
      </c>
      <c r="M166" s="2">
        <v>135.19999999999999</v>
      </c>
      <c r="N166" s="2">
        <v>128.5</v>
      </c>
      <c r="O166" s="2">
        <v>145.80000000000001</v>
      </c>
      <c r="P166" s="2">
        <v>139</v>
      </c>
      <c r="Q166" s="2">
        <v>148.19999999999999</v>
      </c>
      <c r="R166" s="2">
        <v>139.30000000000001</v>
      </c>
      <c r="S166" s="2">
        <v>132.1</v>
      </c>
      <c r="T166" s="2">
        <v>138.30000000000001</v>
      </c>
      <c r="U166" s="2">
        <v>132.6</v>
      </c>
      <c r="V166" s="2">
        <v>129.4</v>
      </c>
      <c r="W166" s="2">
        <v>131.9</v>
      </c>
      <c r="X166" s="2">
        <v>129.4</v>
      </c>
      <c r="Y166" s="2">
        <v>116</v>
      </c>
      <c r="Z166" s="2">
        <v>126.6</v>
      </c>
      <c r="AA166" s="2">
        <v>136.80000000000001</v>
      </c>
      <c r="AB166" s="2">
        <v>123.6</v>
      </c>
      <c r="AC166" s="2">
        <v>125.9</v>
      </c>
      <c r="AD166" s="2">
        <f>AVERAGE(All_India_Index_Upto_April23_CPI_data[[#This Row],[Cereals and products]:[Food and beverages]])</f>
        <v>136.1076923076923</v>
      </c>
      <c r="AE166" s="2">
        <f>AVERAGE(All_India_Index_Upto_April23_CPI_data[[#This Row],[Recreation and amusement]],All_India_Index_Upto_April23_CPI_data[[#This Row],[Pan, tobacco and intoxicants]])</f>
        <v>137.39999999999998</v>
      </c>
      <c r="AF166" s="2">
        <f>AVERAGE(All_India_Index_Upto_April23_CPI_data[[#This Row],[Household goods and services]],All_India_Index_Upto_April23_CPI_data[[#This Row],[Housing]])</f>
        <v>132.25</v>
      </c>
      <c r="AG166" s="2">
        <f>AVERAGE(All_India_Index_Upto_April23_CPI_data[[#This Row],[Personal care and effects]],All_India_Index_Upto_April23_CPI_data[[#This Row],[Health]])</f>
        <v>126.5</v>
      </c>
      <c r="AH166" s="2">
        <f>AVERAGE(All_India_Index_Upto_April23_CPI_data[[#This Row],[Clothing]:[Clothing and footwear]])</f>
        <v>136.56666666666666</v>
      </c>
      <c r="AI166" s="2">
        <v>134.19999999999999</v>
      </c>
      <c r="AJ166" s="1">
        <f>(All_India_Index_Upto_April23_CPI_data[[#This Row],[General index]]-AI163)/AI163</f>
        <v>1.666666666666658E-2</v>
      </c>
    </row>
    <row r="167" spans="1:36" x14ac:dyDescent="0.25">
      <c r="A167" t="s">
        <v>30</v>
      </c>
      <c r="B167">
        <v>2017</v>
      </c>
      <c r="C167" t="s">
        <v>40</v>
      </c>
      <c r="D167" s="2">
        <v>134.80000000000001</v>
      </c>
      <c r="E167" s="2">
        <v>143.1</v>
      </c>
      <c r="F167" s="2">
        <v>130</v>
      </c>
      <c r="G167" s="2">
        <v>139.4</v>
      </c>
      <c r="H167" s="2">
        <v>120.5</v>
      </c>
      <c r="I167" s="2">
        <v>148</v>
      </c>
      <c r="J167" s="2">
        <v>162.9</v>
      </c>
      <c r="K167" s="2">
        <v>137.4</v>
      </c>
      <c r="L167" s="2">
        <v>120.8</v>
      </c>
      <c r="M167" s="2">
        <v>134.69999999999999</v>
      </c>
      <c r="N167" s="2">
        <v>131.6</v>
      </c>
      <c r="O167" s="2">
        <v>148.69999999999999</v>
      </c>
      <c r="P167" s="2">
        <v>140.6</v>
      </c>
      <c r="Q167" s="2">
        <v>149</v>
      </c>
      <c r="R167" s="2">
        <v>145.30000000000001</v>
      </c>
      <c r="S167" s="2">
        <v>139.19999999999999</v>
      </c>
      <c r="T167" s="2">
        <v>144.5</v>
      </c>
      <c r="U167" s="2">
        <v>0</v>
      </c>
      <c r="V167" s="2">
        <v>136.4</v>
      </c>
      <c r="W167" s="2">
        <v>137.30000000000001</v>
      </c>
      <c r="X167" s="2">
        <v>133</v>
      </c>
      <c r="Y167" s="2">
        <v>120.3</v>
      </c>
      <c r="Z167" s="2">
        <v>131.5</v>
      </c>
      <c r="AA167" s="2">
        <v>140.19999999999999</v>
      </c>
      <c r="AB167" s="2">
        <v>125.4</v>
      </c>
      <c r="AC167" s="2">
        <v>129.69999999999999</v>
      </c>
      <c r="AD167" s="2">
        <f>AVERAGE(All_India_Index_Upto_April23_CPI_data[[#This Row],[Cereals and products]:[Food and beverages]])</f>
        <v>137.88461538461536</v>
      </c>
      <c r="AE167" s="2">
        <f>AVERAGE(All_India_Index_Upto_April23_CPI_data[[#This Row],[Recreation and amusement]],All_India_Index_Upto_April23_CPI_data[[#This Row],[Pan, tobacco and intoxicants]])</f>
        <v>140.25</v>
      </c>
      <c r="AF167" s="2">
        <f>AVERAGE(All_India_Index_Upto_April23_CPI_data[[#This Row],[Household goods and services]],All_India_Index_Upto_April23_CPI_data[[#This Row],[Housing]])</f>
        <v>68.650000000000006</v>
      </c>
      <c r="AG167" s="2">
        <f>AVERAGE(All_India_Index_Upto_April23_CPI_data[[#This Row],[Personal care and effects]],All_India_Index_Upto_April23_CPI_data[[#This Row],[Health]])</f>
        <v>129.19999999999999</v>
      </c>
      <c r="AH167" s="2">
        <f>AVERAGE(All_India_Index_Upto_April23_CPI_data[[#This Row],[Clothing]:[Clothing and footwear]])</f>
        <v>143</v>
      </c>
      <c r="AI167" s="2">
        <v>137.80000000000001</v>
      </c>
      <c r="AJ167" s="1">
        <f>(All_India_Index_Upto_April23_CPI_data[[#This Row],[General index]]-AI164)/AI164</f>
        <v>1.174743024963306E-2</v>
      </c>
    </row>
    <row r="168" spans="1:36" x14ac:dyDescent="0.25">
      <c r="A168" t="s">
        <v>32</v>
      </c>
      <c r="B168">
        <v>2017</v>
      </c>
      <c r="C168" t="s">
        <v>40</v>
      </c>
      <c r="D168" s="2">
        <v>133.19999999999999</v>
      </c>
      <c r="E168" s="2">
        <v>143.9</v>
      </c>
      <c r="F168" s="2">
        <v>128.30000000000001</v>
      </c>
      <c r="G168" s="2">
        <v>138.30000000000001</v>
      </c>
      <c r="H168" s="2">
        <v>114.1</v>
      </c>
      <c r="I168" s="2">
        <v>142.69999999999999</v>
      </c>
      <c r="J168" s="2">
        <v>179.8</v>
      </c>
      <c r="K168" s="2">
        <v>123.5</v>
      </c>
      <c r="L168" s="2">
        <v>122.1</v>
      </c>
      <c r="M168" s="2">
        <v>137.5</v>
      </c>
      <c r="N168" s="2">
        <v>124.6</v>
      </c>
      <c r="O168" s="2">
        <v>144.5</v>
      </c>
      <c r="P168" s="2">
        <v>140.5</v>
      </c>
      <c r="Q168" s="2">
        <v>152.1</v>
      </c>
      <c r="R168" s="2">
        <v>132.69999999999999</v>
      </c>
      <c r="S168" s="2">
        <v>124.3</v>
      </c>
      <c r="T168" s="2">
        <v>131.4</v>
      </c>
      <c r="U168" s="2">
        <v>134.4</v>
      </c>
      <c r="V168" s="2">
        <v>118.9</v>
      </c>
      <c r="W168" s="2">
        <v>127.7</v>
      </c>
      <c r="X168" s="2">
        <v>125.7</v>
      </c>
      <c r="Y168" s="2">
        <v>114.6</v>
      </c>
      <c r="Z168" s="2">
        <v>124.1</v>
      </c>
      <c r="AA168" s="2">
        <v>135.69999999999999</v>
      </c>
      <c r="AB168" s="2">
        <v>123.3</v>
      </c>
      <c r="AC168" s="2">
        <v>123.8</v>
      </c>
      <c r="AD168" s="2">
        <f>AVERAGE(All_India_Index_Upto_April23_CPI_data[[#This Row],[Cereals and products]:[Food and beverages]])</f>
        <v>136.38461538461536</v>
      </c>
      <c r="AE168" s="2">
        <f>AVERAGE(All_India_Index_Upto_April23_CPI_data[[#This Row],[Recreation and amusement]],All_India_Index_Upto_April23_CPI_data[[#This Row],[Pan, tobacco and intoxicants]])</f>
        <v>138.1</v>
      </c>
      <c r="AF168" s="2">
        <f>AVERAGE(All_India_Index_Upto_April23_CPI_data[[#This Row],[Household goods and services]],All_India_Index_Upto_April23_CPI_data[[#This Row],[Housing]])</f>
        <v>131.05000000000001</v>
      </c>
      <c r="AG168" s="2">
        <f>AVERAGE(All_India_Index_Upto_April23_CPI_data[[#This Row],[Personal care and effects]],All_India_Index_Upto_April23_CPI_data[[#This Row],[Health]])</f>
        <v>124.5</v>
      </c>
      <c r="AH168" s="2">
        <f>AVERAGE(All_India_Index_Upto_April23_CPI_data[[#This Row],[Clothing]:[Clothing and footwear]])</f>
        <v>129.46666666666667</v>
      </c>
      <c r="AI168" s="2">
        <v>132.69999999999999</v>
      </c>
      <c r="AJ168" s="1">
        <f>(All_India_Index_Upto_April23_CPI_data[[#This Row],[General index]]-AI165)/AI165</f>
        <v>6.8285280728374595E-3</v>
      </c>
    </row>
    <row r="169" spans="1:36" x14ac:dyDescent="0.25">
      <c r="A169" t="s">
        <v>33</v>
      </c>
      <c r="B169">
        <v>2017</v>
      </c>
      <c r="C169" t="s">
        <v>40</v>
      </c>
      <c r="D169" s="2">
        <v>134.30000000000001</v>
      </c>
      <c r="E169" s="2">
        <v>143.4</v>
      </c>
      <c r="F169" s="2">
        <v>129.30000000000001</v>
      </c>
      <c r="G169" s="2">
        <v>139</v>
      </c>
      <c r="H169" s="2">
        <v>118.1</v>
      </c>
      <c r="I169" s="2">
        <v>145.5</v>
      </c>
      <c r="J169" s="2">
        <v>168.6</v>
      </c>
      <c r="K169" s="2">
        <v>132.69999999999999</v>
      </c>
      <c r="L169" s="2">
        <v>121.2</v>
      </c>
      <c r="M169" s="2">
        <v>135.6</v>
      </c>
      <c r="N169" s="2">
        <v>128.69999999999999</v>
      </c>
      <c r="O169" s="2">
        <v>146.80000000000001</v>
      </c>
      <c r="P169" s="2">
        <v>140.6</v>
      </c>
      <c r="Q169" s="2">
        <v>149.80000000000001</v>
      </c>
      <c r="R169" s="2">
        <v>140.30000000000001</v>
      </c>
      <c r="S169" s="2">
        <v>133</v>
      </c>
      <c r="T169" s="2">
        <v>139.30000000000001</v>
      </c>
      <c r="U169" s="2">
        <v>134.4</v>
      </c>
      <c r="V169" s="2">
        <v>129.80000000000001</v>
      </c>
      <c r="W169" s="2">
        <v>132.80000000000001</v>
      </c>
      <c r="X169" s="2">
        <v>130.19999999999999</v>
      </c>
      <c r="Y169" s="2">
        <v>117.3</v>
      </c>
      <c r="Z169" s="2">
        <v>127.3</v>
      </c>
      <c r="AA169" s="2">
        <v>137.6</v>
      </c>
      <c r="AB169" s="2">
        <v>124.5</v>
      </c>
      <c r="AC169" s="2">
        <v>126.8</v>
      </c>
      <c r="AD169" s="2">
        <f>AVERAGE(All_India_Index_Upto_April23_CPI_data[[#This Row],[Cereals and products]:[Food and beverages]])</f>
        <v>137.21538461538461</v>
      </c>
      <c r="AE169" s="2">
        <f>AVERAGE(All_India_Index_Upto_April23_CPI_data[[#This Row],[Recreation and amusement]],All_India_Index_Upto_April23_CPI_data[[#This Row],[Pan, tobacco and intoxicants]])</f>
        <v>138.55000000000001</v>
      </c>
      <c r="AF169" s="2">
        <f>AVERAGE(All_India_Index_Upto_April23_CPI_data[[#This Row],[Household goods and services]],All_India_Index_Upto_April23_CPI_data[[#This Row],[Housing]])</f>
        <v>133.60000000000002</v>
      </c>
      <c r="AG169" s="2">
        <f>AVERAGE(All_India_Index_Upto_April23_CPI_data[[#This Row],[Personal care and effects]],All_India_Index_Upto_April23_CPI_data[[#This Row],[Health]])</f>
        <v>127.35</v>
      </c>
      <c r="AH169" s="2">
        <f>AVERAGE(All_India_Index_Upto_April23_CPI_data[[#This Row],[Clothing]:[Clothing and footwear]])</f>
        <v>137.53333333333333</v>
      </c>
      <c r="AI169" s="2">
        <v>135.4</v>
      </c>
      <c r="AJ169" s="1">
        <f>(All_India_Index_Upto_April23_CPI_data[[#This Row],[General index]]-AI166)/AI166</f>
        <v>8.9418777943369391E-3</v>
      </c>
    </row>
    <row r="170" spans="1:36" x14ac:dyDescent="0.25">
      <c r="A170" t="s">
        <v>30</v>
      </c>
      <c r="B170">
        <v>2017</v>
      </c>
      <c r="C170" t="s">
        <v>41</v>
      </c>
      <c r="D170" s="2">
        <v>135.19999999999999</v>
      </c>
      <c r="E170" s="2">
        <v>142</v>
      </c>
      <c r="F170" s="2">
        <v>130.5</v>
      </c>
      <c r="G170" s="2">
        <v>140.19999999999999</v>
      </c>
      <c r="H170" s="2">
        <v>120.7</v>
      </c>
      <c r="I170" s="2">
        <v>147.80000000000001</v>
      </c>
      <c r="J170" s="2">
        <v>154.5</v>
      </c>
      <c r="K170" s="2">
        <v>137.1</v>
      </c>
      <c r="L170" s="2">
        <v>121</v>
      </c>
      <c r="M170" s="2">
        <v>134.69999999999999</v>
      </c>
      <c r="N170" s="2">
        <v>131.69999999999999</v>
      </c>
      <c r="O170" s="2">
        <v>149.30000000000001</v>
      </c>
      <c r="P170" s="2">
        <v>139.6</v>
      </c>
      <c r="Q170" s="2">
        <v>149.80000000000001</v>
      </c>
      <c r="R170" s="2">
        <v>146.1</v>
      </c>
      <c r="S170" s="2">
        <v>139.69999999999999</v>
      </c>
      <c r="T170" s="2">
        <v>145.19999999999999</v>
      </c>
      <c r="U170" s="2">
        <v>0</v>
      </c>
      <c r="V170" s="2">
        <v>137.4</v>
      </c>
      <c r="W170" s="2">
        <v>137.9</v>
      </c>
      <c r="X170" s="2">
        <v>133.4</v>
      </c>
      <c r="Y170" s="2">
        <v>121.2</v>
      </c>
      <c r="Z170" s="2">
        <v>132.30000000000001</v>
      </c>
      <c r="AA170" s="2">
        <v>139.6</v>
      </c>
      <c r="AB170" s="2">
        <v>126.7</v>
      </c>
      <c r="AC170" s="2">
        <v>130.30000000000001</v>
      </c>
      <c r="AD170" s="2">
        <f>AVERAGE(All_India_Index_Upto_April23_CPI_data[[#This Row],[Cereals and products]:[Food and beverages]])</f>
        <v>137.25384615384615</v>
      </c>
      <c r="AE170" s="2">
        <f>AVERAGE(All_India_Index_Upto_April23_CPI_data[[#This Row],[Recreation and amusement]],All_India_Index_Upto_April23_CPI_data[[#This Row],[Pan, tobacco and intoxicants]])</f>
        <v>141.05000000000001</v>
      </c>
      <c r="AF170" s="2">
        <f>AVERAGE(All_India_Index_Upto_April23_CPI_data[[#This Row],[Household goods and services]],All_India_Index_Upto_April23_CPI_data[[#This Row],[Housing]])</f>
        <v>68.95</v>
      </c>
      <c r="AG170" s="2">
        <f>AVERAGE(All_India_Index_Upto_April23_CPI_data[[#This Row],[Personal care and effects]],All_India_Index_Upto_April23_CPI_data[[#This Row],[Health]])</f>
        <v>130.05000000000001</v>
      </c>
      <c r="AH170" s="2">
        <f>AVERAGE(All_India_Index_Upto_April23_CPI_data[[#This Row],[Clothing]:[Clothing and footwear]])</f>
        <v>143.66666666666666</v>
      </c>
      <c r="AI170" s="2">
        <v>137.6</v>
      </c>
      <c r="AJ170" s="1">
        <f>(All_India_Index_Upto_April23_CPI_data[[#This Row],[General index]]-AI167)/AI167</f>
        <v>-1.4513788098694995E-3</v>
      </c>
    </row>
    <row r="171" spans="1:36" x14ac:dyDescent="0.25">
      <c r="A171" t="s">
        <v>32</v>
      </c>
      <c r="B171">
        <v>2017</v>
      </c>
      <c r="C171" t="s">
        <v>41</v>
      </c>
      <c r="D171" s="2">
        <v>133.6</v>
      </c>
      <c r="E171" s="2">
        <v>143</v>
      </c>
      <c r="F171" s="2">
        <v>129.69999999999999</v>
      </c>
      <c r="G171" s="2">
        <v>138.69999999999999</v>
      </c>
      <c r="H171" s="2">
        <v>114.5</v>
      </c>
      <c r="I171" s="2">
        <v>137.5</v>
      </c>
      <c r="J171" s="2">
        <v>160.69999999999999</v>
      </c>
      <c r="K171" s="2">
        <v>124.5</v>
      </c>
      <c r="L171" s="2">
        <v>122.4</v>
      </c>
      <c r="M171" s="2">
        <v>137.30000000000001</v>
      </c>
      <c r="N171" s="2">
        <v>124.8</v>
      </c>
      <c r="O171" s="2">
        <v>145</v>
      </c>
      <c r="P171" s="2">
        <v>138</v>
      </c>
      <c r="Q171" s="2">
        <v>153.6</v>
      </c>
      <c r="R171" s="2">
        <v>133.30000000000001</v>
      </c>
      <c r="S171" s="2">
        <v>124.6</v>
      </c>
      <c r="T171" s="2">
        <v>132</v>
      </c>
      <c r="U171" s="2">
        <v>135.69999999999999</v>
      </c>
      <c r="V171" s="2">
        <v>120.6</v>
      </c>
      <c r="W171" s="2">
        <v>128.1</v>
      </c>
      <c r="X171" s="2">
        <v>126.1</v>
      </c>
      <c r="Y171" s="2">
        <v>115.7</v>
      </c>
      <c r="Z171" s="2">
        <v>124.5</v>
      </c>
      <c r="AA171" s="2">
        <v>135.9</v>
      </c>
      <c r="AB171" s="2">
        <v>124.4</v>
      </c>
      <c r="AC171" s="2">
        <v>124.5</v>
      </c>
      <c r="AD171" s="2">
        <f>AVERAGE(All_India_Index_Upto_April23_CPI_data[[#This Row],[Cereals and products]:[Food and beverages]])</f>
        <v>134.59230769230768</v>
      </c>
      <c r="AE171" s="2">
        <f>AVERAGE(All_India_Index_Upto_April23_CPI_data[[#This Row],[Recreation and amusement]],All_India_Index_Upto_April23_CPI_data[[#This Row],[Pan, tobacco and intoxicants]])</f>
        <v>139.05000000000001</v>
      </c>
      <c r="AF171" s="2">
        <f>AVERAGE(All_India_Index_Upto_April23_CPI_data[[#This Row],[Household goods and services]],All_India_Index_Upto_April23_CPI_data[[#This Row],[Housing]])</f>
        <v>131.89999999999998</v>
      </c>
      <c r="AG171" s="2">
        <f>AVERAGE(All_India_Index_Upto_April23_CPI_data[[#This Row],[Personal care and effects]],All_India_Index_Upto_April23_CPI_data[[#This Row],[Health]])</f>
        <v>125.25</v>
      </c>
      <c r="AH171" s="2">
        <f>AVERAGE(All_India_Index_Upto_April23_CPI_data[[#This Row],[Clothing]:[Clothing and footwear]])</f>
        <v>129.96666666666667</v>
      </c>
      <c r="AI171" s="2">
        <v>132.4</v>
      </c>
      <c r="AJ171" s="1">
        <f>(All_India_Index_Upto_April23_CPI_data[[#This Row],[General index]]-AI168)/AI168</f>
        <v>-2.2607385079124564E-3</v>
      </c>
    </row>
    <row r="172" spans="1:36" x14ac:dyDescent="0.25">
      <c r="A172" t="s">
        <v>33</v>
      </c>
      <c r="B172">
        <v>2017</v>
      </c>
      <c r="C172" t="s">
        <v>41</v>
      </c>
      <c r="D172" s="2">
        <v>134.69999999999999</v>
      </c>
      <c r="E172" s="2">
        <v>142.4</v>
      </c>
      <c r="F172" s="2">
        <v>130.19999999999999</v>
      </c>
      <c r="G172" s="2">
        <v>139.6</v>
      </c>
      <c r="H172" s="2">
        <v>118.4</v>
      </c>
      <c r="I172" s="2">
        <v>143</v>
      </c>
      <c r="J172" s="2">
        <v>156.6</v>
      </c>
      <c r="K172" s="2">
        <v>132.9</v>
      </c>
      <c r="L172" s="2">
        <v>121.5</v>
      </c>
      <c r="M172" s="2">
        <v>135.6</v>
      </c>
      <c r="N172" s="2">
        <v>128.80000000000001</v>
      </c>
      <c r="O172" s="2">
        <v>147.30000000000001</v>
      </c>
      <c r="P172" s="2">
        <v>139</v>
      </c>
      <c r="Q172" s="2">
        <v>150.80000000000001</v>
      </c>
      <c r="R172" s="2">
        <v>141.1</v>
      </c>
      <c r="S172" s="2">
        <v>133.4</v>
      </c>
      <c r="T172" s="2">
        <v>140</v>
      </c>
      <c r="U172" s="2">
        <v>135.69999999999999</v>
      </c>
      <c r="V172" s="2">
        <v>131</v>
      </c>
      <c r="W172" s="2">
        <v>133.30000000000001</v>
      </c>
      <c r="X172" s="2">
        <v>130.6</v>
      </c>
      <c r="Y172" s="2">
        <v>118.3</v>
      </c>
      <c r="Z172" s="2">
        <v>127.9</v>
      </c>
      <c r="AA172" s="2">
        <v>137.4</v>
      </c>
      <c r="AB172" s="2">
        <v>125.7</v>
      </c>
      <c r="AC172" s="2">
        <v>127.5</v>
      </c>
      <c r="AD172" s="2">
        <f>AVERAGE(All_India_Index_Upto_April23_CPI_data[[#This Row],[Cereals and products]:[Food and beverages]])</f>
        <v>136.15384615384613</v>
      </c>
      <c r="AE172" s="2">
        <f>AVERAGE(All_India_Index_Upto_April23_CPI_data[[#This Row],[Recreation and amusement]],All_India_Index_Upto_April23_CPI_data[[#This Row],[Pan, tobacco and intoxicants]])</f>
        <v>139.35000000000002</v>
      </c>
      <c r="AF172" s="2">
        <f>AVERAGE(All_India_Index_Upto_April23_CPI_data[[#This Row],[Household goods and services]],All_India_Index_Upto_April23_CPI_data[[#This Row],[Housing]])</f>
        <v>134.5</v>
      </c>
      <c r="AG172" s="2">
        <f>AVERAGE(All_India_Index_Upto_April23_CPI_data[[#This Row],[Personal care and effects]],All_India_Index_Upto_April23_CPI_data[[#This Row],[Health]])</f>
        <v>128.15</v>
      </c>
      <c r="AH172" s="2">
        <f>AVERAGE(All_India_Index_Upto_April23_CPI_data[[#This Row],[Clothing]:[Clothing and footwear]])</f>
        <v>138.16666666666666</v>
      </c>
      <c r="AI172" s="2">
        <v>135.19999999999999</v>
      </c>
      <c r="AJ172" s="1">
        <f>(All_India_Index_Upto_April23_CPI_data[[#This Row],[General index]]-AI169)/AI169</f>
        <v>-1.4771048744462115E-3</v>
      </c>
    </row>
    <row r="173" spans="1:36" x14ac:dyDescent="0.25">
      <c r="A173" t="s">
        <v>30</v>
      </c>
      <c r="B173">
        <v>2017</v>
      </c>
      <c r="C173" t="s">
        <v>42</v>
      </c>
      <c r="D173" s="2">
        <v>135.9</v>
      </c>
      <c r="E173" s="2">
        <v>141.9</v>
      </c>
      <c r="F173" s="2">
        <v>131</v>
      </c>
      <c r="G173" s="2">
        <v>141.5</v>
      </c>
      <c r="H173" s="2">
        <v>121.4</v>
      </c>
      <c r="I173" s="2">
        <v>146.69999999999999</v>
      </c>
      <c r="J173" s="2">
        <v>157.1</v>
      </c>
      <c r="K173" s="2">
        <v>136.4</v>
      </c>
      <c r="L173" s="2">
        <v>121.4</v>
      </c>
      <c r="M173" s="2">
        <v>135.6</v>
      </c>
      <c r="N173" s="2">
        <v>131.30000000000001</v>
      </c>
      <c r="O173" s="2">
        <v>150.30000000000001</v>
      </c>
      <c r="P173" s="2">
        <v>140.4</v>
      </c>
      <c r="Q173" s="2">
        <v>150.5</v>
      </c>
      <c r="R173" s="2">
        <v>147.19999999999999</v>
      </c>
      <c r="S173" s="2">
        <v>140.6</v>
      </c>
      <c r="T173" s="2">
        <v>146.19999999999999</v>
      </c>
      <c r="U173" s="2">
        <v>0</v>
      </c>
      <c r="V173" s="2">
        <v>138.1</v>
      </c>
      <c r="W173" s="2">
        <v>138.4</v>
      </c>
      <c r="X173" s="2">
        <v>134.19999999999999</v>
      </c>
      <c r="Y173" s="2">
        <v>121</v>
      </c>
      <c r="Z173" s="2">
        <v>133</v>
      </c>
      <c r="AA173" s="2">
        <v>140.1</v>
      </c>
      <c r="AB173" s="2">
        <v>127.4</v>
      </c>
      <c r="AC173" s="2">
        <v>130.69999999999999</v>
      </c>
      <c r="AD173" s="2">
        <f>AVERAGE(All_India_Index_Upto_April23_CPI_data[[#This Row],[Cereals and products]:[Food and beverages]])</f>
        <v>137.76153846153846</v>
      </c>
      <c r="AE173" s="2">
        <f>AVERAGE(All_India_Index_Upto_April23_CPI_data[[#This Row],[Recreation and amusement]],All_India_Index_Upto_April23_CPI_data[[#This Row],[Pan, tobacco and intoxicants]])</f>
        <v>141.75</v>
      </c>
      <c r="AF173" s="2">
        <f>AVERAGE(All_India_Index_Upto_April23_CPI_data[[#This Row],[Household goods and services]],All_India_Index_Upto_April23_CPI_data[[#This Row],[Housing]])</f>
        <v>69.2</v>
      </c>
      <c r="AG173" s="2">
        <f>AVERAGE(All_India_Index_Upto_April23_CPI_data[[#This Row],[Personal care and effects]],All_India_Index_Upto_April23_CPI_data[[#This Row],[Health]])</f>
        <v>130.80000000000001</v>
      </c>
      <c r="AH173" s="2">
        <f>AVERAGE(All_India_Index_Upto_April23_CPI_data[[#This Row],[Clothing]:[Clothing and footwear]])</f>
        <v>144.66666666666666</v>
      </c>
      <c r="AI173" s="2">
        <v>138.30000000000001</v>
      </c>
      <c r="AJ173" s="1">
        <f>(All_India_Index_Upto_April23_CPI_data[[#This Row],[General index]]-AI170)/AI170</f>
        <v>5.0872093023257058E-3</v>
      </c>
    </row>
    <row r="174" spans="1:36" x14ac:dyDescent="0.25">
      <c r="A174" t="s">
        <v>32</v>
      </c>
      <c r="B174">
        <v>2017</v>
      </c>
      <c r="C174" t="s">
        <v>42</v>
      </c>
      <c r="D174" s="2">
        <v>133.9</v>
      </c>
      <c r="E174" s="2">
        <v>142.80000000000001</v>
      </c>
      <c r="F174" s="2">
        <v>131.4</v>
      </c>
      <c r="G174" s="2">
        <v>139.1</v>
      </c>
      <c r="H174" s="2">
        <v>114.9</v>
      </c>
      <c r="I174" s="2">
        <v>135.6</v>
      </c>
      <c r="J174" s="2">
        <v>173.2</v>
      </c>
      <c r="K174" s="2">
        <v>124.1</v>
      </c>
      <c r="L174" s="2">
        <v>122.6</v>
      </c>
      <c r="M174" s="2">
        <v>137.80000000000001</v>
      </c>
      <c r="N174" s="2">
        <v>125.1</v>
      </c>
      <c r="O174" s="2">
        <v>145.5</v>
      </c>
      <c r="P174" s="2">
        <v>139.69999999999999</v>
      </c>
      <c r="Q174" s="2">
        <v>154.6</v>
      </c>
      <c r="R174" s="2">
        <v>134</v>
      </c>
      <c r="S174" s="2">
        <v>124.9</v>
      </c>
      <c r="T174" s="2">
        <v>132.6</v>
      </c>
      <c r="U174" s="2">
        <v>137.30000000000001</v>
      </c>
      <c r="V174" s="2">
        <v>122.6</v>
      </c>
      <c r="W174" s="2">
        <v>128.30000000000001</v>
      </c>
      <c r="X174" s="2">
        <v>126.6</v>
      </c>
      <c r="Y174" s="2">
        <v>115</v>
      </c>
      <c r="Z174" s="2">
        <v>124.8</v>
      </c>
      <c r="AA174" s="2">
        <v>136.30000000000001</v>
      </c>
      <c r="AB174" s="2">
        <v>124.6</v>
      </c>
      <c r="AC174" s="2">
        <v>124.5</v>
      </c>
      <c r="AD174" s="2">
        <f>AVERAGE(All_India_Index_Upto_April23_CPI_data[[#This Row],[Cereals and products]:[Food and beverages]])</f>
        <v>135.82307692307691</v>
      </c>
      <c r="AE174" s="2">
        <f>AVERAGE(All_India_Index_Upto_April23_CPI_data[[#This Row],[Recreation and amusement]],All_India_Index_Upto_April23_CPI_data[[#This Row],[Pan, tobacco and intoxicants]])</f>
        <v>139.69999999999999</v>
      </c>
      <c r="AF174" s="2">
        <f>AVERAGE(All_India_Index_Upto_April23_CPI_data[[#This Row],[Household goods and services]],All_India_Index_Upto_April23_CPI_data[[#This Row],[Housing]])</f>
        <v>132.80000000000001</v>
      </c>
      <c r="AG174" s="2">
        <f>AVERAGE(All_India_Index_Upto_April23_CPI_data[[#This Row],[Personal care and effects]],All_India_Index_Upto_April23_CPI_data[[#This Row],[Health]])</f>
        <v>125.6</v>
      </c>
      <c r="AH174" s="2">
        <f>AVERAGE(All_India_Index_Upto_April23_CPI_data[[#This Row],[Clothing]:[Clothing and footwear]])</f>
        <v>130.5</v>
      </c>
      <c r="AI174" s="2">
        <v>133.5</v>
      </c>
      <c r="AJ174" s="1">
        <f>(All_India_Index_Upto_April23_CPI_data[[#This Row],[General index]]-AI171)/AI171</f>
        <v>8.308157099697842E-3</v>
      </c>
    </row>
    <row r="175" spans="1:36" x14ac:dyDescent="0.25">
      <c r="A175" t="s">
        <v>33</v>
      </c>
      <c r="B175">
        <v>2017</v>
      </c>
      <c r="C175" t="s">
        <v>42</v>
      </c>
      <c r="D175" s="2">
        <v>135.30000000000001</v>
      </c>
      <c r="E175" s="2">
        <v>142.19999999999999</v>
      </c>
      <c r="F175" s="2">
        <v>131.19999999999999</v>
      </c>
      <c r="G175" s="2">
        <v>140.6</v>
      </c>
      <c r="H175" s="2">
        <v>119</v>
      </c>
      <c r="I175" s="2">
        <v>141.5</v>
      </c>
      <c r="J175" s="2">
        <v>162.6</v>
      </c>
      <c r="K175" s="2">
        <v>132.30000000000001</v>
      </c>
      <c r="L175" s="2">
        <v>121.8</v>
      </c>
      <c r="M175" s="2">
        <v>136.30000000000001</v>
      </c>
      <c r="N175" s="2">
        <v>128.69999999999999</v>
      </c>
      <c r="O175" s="2">
        <v>148.1</v>
      </c>
      <c r="P175" s="2">
        <v>140.1</v>
      </c>
      <c r="Q175" s="2">
        <v>151.6</v>
      </c>
      <c r="R175" s="2">
        <v>142</v>
      </c>
      <c r="S175" s="2">
        <v>134.1</v>
      </c>
      <c r="T175" s="2">
        <v>140.80000000000001</v>
      </c>
      <c r="U175" s="2">
        <v>137.30000000000001</v>
      </c>
      <c r="V175" s="2">
        <v>132.19999999999999</v>
      </c>
      <c r="W175" s="2">
        <v>133.6</v>
      </c>
      <c r="X175" s="2">
        <v>131.30000000000001</v>
      </c>
      <c r="Y175" s="2">
        <v>117.8</v>
      </c>
      <c r="Z175" s="2">
        <v>128.4</v>
      </c>
      <c r="AA175" s="2">
        <v>137.9</v>
      </c>
      <c r="AB175" s="2">
        <v>126.2</v>
      </c>
      <c r="AC175" s="2">
        <v>127.7</v>
      </c>
      <c r="AD175" s="2">
        <f>AVERAGE(All_India_Index_Upto_April23_CPI_data[[#This Row],[Cereals and products]:[Food and beverages]])</f>
        <v>136.89999999999998</v>
      </c>
      <c r="AE175" s="2">
        <f>AVERAGE(All_India_Index_Upto_April23_CPI_data[[#This Row],[Recreation and amusement]],All_India_Index_Upto_April23_CPI_data[[#This Row],[Pan, tobacco and intoxicants]])</f>
        <v>140</v>
      </c>
      <c r="AF175" s="2">
        <f>AVERAGE(All_India_Index_Upto_April23_CPI_data[[#This Row],[Household goods and services]],All_India_Index_Upto_April23_CPI_data[[#This Row],[Housing]])</f>
        <v>135.44999999999999</v>
      </c>
      <c r="AG175" s="2">
        <f>AVERAGE(All_India_Index_Upto_April23_CPI_data[[#This Row],[Personal care and effects]],All_India_Index_Upto_April23_CPI_data[[#This Row],[Health]])</f>
        <v>128.75</v>
      </c>
      <c r="AH175" s="2">
        <f>AVERAGE(All_India_Index_Upto_April23_CPI_data[[#This Row],[Clothing]:[Clothing and footwear]])</f>
        <v>138.96666666666667</v>
      </c>
      <c r="AI175" s="2">
        <v>136.1</v>
      </c>
      <c r="AJ175" s="1">
        <f>(All_India_Index_Upto_April23_CPI_data[[#This Row],[General index]]-AI172)/AI172</f>
        <v>6.6568047337278533E-3</v>
      </c>
    </row>
    <row r="176" spans="1:36" x14ac:dyDescent="0.25">
      <c r="A176" t="s">
        <v>30</v>
      </c>
      <c r="B176">
        <v>2017</v>
      </c>
      <c r="C176" t="s">
        <v>43</v>
      </c>
      <c r="D176" s="2">
        <v>136.30000000000001</v>
      </c>
      <c r="E176" s="2">
        <v>142.5</v>
      </c>
      <c r="F176" s="2">
        <v>140.5</v>
      </c>
      <c r="G176" s="2">
        <v>141.5</v>
      </c>
      <c r="H176" s="2">
        <v>121.6</v>
      </c>
      <c r="I176" s="2">
        <v>147.30000000000001</v>
      </c>
      <c r="J176" s="2">
        <v>168</v>
      </c>
      <c r="K176" s="2">
        <v>135.80000000000001</v>
      </c>
      <c r="L176" s="2">
        <v>122.5</v>
      </c>
      <c r="M176" s="2">
        <v>136</v>
      </c>
      <c r="N176" s="2">
        <v>131.9</v>
      </c>
      <c r="O176" s="2">
        <v>151.4</v>
      </c>
      <c r="P176" s="2">
        <v>142.4</v>
      </c>
      <c r="Q176" s="2">
        <v>152.1</v>
      </c>
      <c r="R176" s="2">
        <v>148.19999999999999</v>
      </c>
      <c r="S176" s="2">
        <v>141.5</v>
      </c>
      <c r="T176" s="2">
        <v>147.30000000000001</v>
      </c>
      <c r="U176" s="2">
        <v>0</v>
      </c>
      <c r="V176" s="2">
        <v>141.1</v>
      </c>
      <c r="W176" s="2">
        <v>139.4</v>
      </c>
      <c r="X176" s="2">
        <v>135.80000000000001</v>
      </c>
      <c r="Y176" s="2">
        <v>121.6</v>
      </c>
      <c r="Z176" s="2">
        <v>133.69999999999999</v>
      </c>
      <c r="AA176" s="2">
        <v>141.5</v>
      </c>
      <c r="AB176" s="2">
        <v>128.1</v>
      </c>
      <c r="AC176" s="2">
        <v>131.69999999999999</v>
      </c>
      <c r="AD176" s="2">
        <f>AVERAGE(All_India_Index_Upto_April23_CPI_data[[#This Row],[Cereals and products]:[Food and beverages]])</f>
        <v>139.82307692307694</v>
      </c>
      <c r="AE176" s="2">
        <f>AVERAGE(All_India_Index_Upto_April23_CPI_data[[#This Row],[Recreation and amusement]],All_India_Index_Upto_April23_CPI_data[[#This Row],[Pan, tobacco and intoxicants]])</f>
        <v>142.89999999999998</v>
      </c>
      <c r="AF176" s="2">
        <f>AVERAGE(All_India_Index_Upto_April23_CPI_data[[#This Row],[Household goods and services]],All_India_Index_Upto_April23_CPI_data[[#This Row],[Housing]])</f>
        <v>69.7</v>
      </c>
      <c r="AG176" s="2">
        <f>AVERAGE(All_India_Index_Upto_April23_CPI_data[[#This Row],[Personal care and effects]],All_India_Index_Upto_April23_CPI_data[[#This Row],[Health]])</f>
        <v>131.94999999999999</v>
      </c>
      <c r="AH176" s="2">
        <f>AVERAGE(All_India_Index_Upto_April23_CPI_data[[#This Row],[Clothing]:[Clothing and footwear]])</f>
        <v>145.66666666666666</v>
      </c>
      <c r="AI176" s="2">
        <v>140</v>
      </c>
      <c r="AJ176" s="1">
        <f>(All_India_Index_Upto_April23_CPI_data[[#This Row],[General index]]-AI173)/AI173</f>
        <v>1.229211858279095E-2</v>
      </c>
    </row>
    <row r="177" spans="1:36" x14ac:dyDescent="0.25">
      <c r="A177" t="s">
        <v>32</v>
      </c>
      <c r="B177">
        <v>2017</v>
      </c>
      <c r="C177" t="s">
        <v>43</v>
      </c>
      <c r="D177" s="2">
        <v>134.30000000000001</v>
      </c>
      <c r="E177" s="2">
        <v>142.1</v>
      </c>
      <c r="F177" s="2">
        <v>146.69999999999999</v>
      </c>
      <c r="G177" s="2">
        <v>139.5</v>
      </c>
      <c r="H177" s="2">
        <v>115.2</v>
      </c>
      <c r="I177" s="2">
        <v>136.4</v>
      </c>
      <c r="J177" s="2">
        <v>185.2</v>
      </c>
      <c r="K177" s="2">
        <v>122.2</v>
      </c>
      <c r="L177" s="2">
        <v>123.9</v>
      </c>
      <c r="M177" s="2">
        <v>138.30000000000001</v>
      </c>
      <c r="N177" s="2">
        <v>125.4</v>
      </c>
      <c r="O177" s="2">
        <v>146</v>
      </c>
      <c r="P177" s="2">
        <v>141.5</v>
      </c>
      <c r="Q177" s="2">
        <v>156.19999999999999</v>
      </c>
      <c r="R177" s="2">
        <v>135</v>
      </c>
      <c r="S177" s="2">
        <v>125.4</v>
      </c>
      <c r="T177" s="2">
        <v>133.5</v>
      </c>
      <c r="U177" s="2">
        <v>138.6</v>
      </c>
      <c r="V177" s="2">
        <v>125.7</v>
      </c>
      <c r="W177" s="2">
        <v>128.80000000000001</v>
      </c>
      <c r="X177" s="2">
        <v>127.4</v>
      </c>
      <c r="Y177" s="2">
        <v>115.3</v>
      </c>
      <c r="Z177" s="2">
        <v>125.1</v>
      </c>
      <c r="AA177" s="2">
        <v>136.6</v>
      </c>
      <c r="AB177" s="2">
        <v>124.9</v>
      </c>
      <c r="AC177" s="2">
        <v>124.9</v>
      </c>
      <c r="AD177" s="2">
        <f>AVERAGE(All_India_Index_Upto_April23_CPI_data[[#This Row],[Cereals and products]:[Food and beverages]])</f>
        <v>138.2076923076923</v>
      </c>
      <c r="AE177" s="2">
        <f>AVERAGE(All_India_Index_Upto_April23_CPI_data[[#This Row],[Recreation and amusement]],All_India_Index_Upto_April23_CPI_data[[#This Row],[Pan, tobacco and intoxicants]])</f>
        <v>140.64999999999998</v>
      </c>
      <c r="AF177" s="2">
        <f>AVERAGE(All_India_Index_Upto_April23_CPI_data[[#This Row],[Household goods and services]],All_India_Index_Upto_April23_CPI_data[[#This Row],[Housing]])</f>
        <v>133.69999999999999</v>
      </c>
      <c r="AG177" s="2">
        <f>AVERAGE(All_India_Index_Upto_April23_CPI_data[[#This Row],[Personal care and effects]],All_India_Index_Upto_April23_CPI_data[[#This Row],[Health]])</f>
        <v>126.15</v>
      </c>
      <c r="AH177" s="2">
        <f>AVERAGE(All_India_Index_Upto_April23_CPI_data[[#This Row],[Clothing]:[Clothing and footwear]])</f>
        <v>131.29999999999998</v>
      </c>
      <c r="AI177" s="2">
        <v>134.80000000000001</v>
      </c>
      <c r="AJ177" s="1">
        <f>(All_India_Index_Upto_April23_CPI_data[[#This Row],[General index]]-AI174)/AI174</f>
        <v>9.7378277153558901E-3</v>
      </c>
    </row>
    <row r="178" spans="1:36" x14ac:dyDescent="0.25">
      <c r="A178" t="s">
        <v>33</v>
      </c>
      <c r="B178">
        <v>2017</v>
      </c>
      <c r="C178" t="s">
        <v>43</v>
      </c>
      <c r="D178" s="2">
        <v>135.69999999999999</v>
      </c>
      <c r="E178" s="2">
        <v>142.4</v>
      </c>
      <c r="F178" s="2">
        <v>142.9</v>
      </c>
      <c r="G178" s="2">
        <v>140.80000000000001</v>
      </c>
      <c r="H178" s="2">
        <v>119.2</v>
      </c>
      <c r="I178" s="2">
        <v>142.19999999999999</v>
      </c>
      <c r="J178" s="2">
        <v>173.8</v>
      </c>
      <c r="K178" s="2">
        <v>131.19999999999999</v>
      </c>
      <c r="L178" s="2">
        <v>123</v>
      </c>
      <c r="M178" s="2">
        <v>136.80000000000001</v>
      </c>
      <c r="N178" s="2">
        <v>129.19999999999999</v>
      </c>
      <c r="O178" s="2">
        <v>148.9</v>
      </c>
      <c r="P178" s="2">
        <v>142.1</v>
      </c>
      <c r="Q178" s="2">
        <v>153.19999999999999</v>
      </c>
      <c r="R178" s="2">
        <v>143</v>
      </c>
      <c r="S178" s="2">
        <v>134.80000000000001</v>
      </c>
      <c r="T178" s="2">
        <v>141.80000000000001</v>
      </c>
      <c r="U178" s="2">
        <v>138.6</v>
      </c>
      <c r="V178" s="2">
        <v>135.30000000000001</v>
      </c>
      <c r="W178" s="2">
        <v>134.4</v>
      </c>
      <c r="X178" s="2">
        <v>132.6</v>
      </c>
      <c r="Y178" s="2">
        <v>118.3</v>
      </c>
      <c r="Z178" s="2">
        <v>128.9</v>
      </c>
      <c r="AA178" s="2">
        <v>138.6</v>
      </c>
      <c r="AB178" s="2">
        <v>126.8</v>
      </c>
      <c r="AC178" s="2">
        <v>128.4</v>
      </c>
      <c r="AD178" s="2">
        <f>AVERAGE(All_India_Index_Upto_April23_CPI_data[[#This Row],[Cereals and products]:[Food and beverages]])</f>
        <v>139.09230769230768</v>
      </c>
      <c r="AE178" s="2">
        <f>AVERAGE(All_India_Index_Upto_April23_CPI_data[[#This Row],[Recreation and amusement]],All_India_Index_Upto_April23_CPI_data[[#This Row],[Pan, tobacco and intoxicants]])</f>
        <v>141.05000000000001</v>
      </c>
      <c r="AF178" s="2">
        <f>AVERAGE(All_India_Index_Upto_April23_CPI_data[[#This Row],[Household goods and services]],All_India_Index_Upto_April23_CPI_data[[#This Row],[Housing]])</f>
        <v>136.5</v>
      </c>
      <c r="AG178" s="2">
        <f>AVERAGE(All_India_Index_Upto_April23_CPI_data[[#This Row],[Personal care and effects]],All_India_Index_Upto_April23_CPI_data[[#This Row],[Health]])</f>
        <v>129.69999999999999</v>
      </c>
      <c r="AH178" s="2">
        <f>AVERAGE(All_India_Index_Upto_April23_CPI_data[[#This Row],[Clothing]:[Clothing and footwear]])</f>
        <v>139.86666666666667</v>
      </c>
      <c r="AI178" s="2">
        <v>137.6</v>
      </c>
      <c r="AJ178" s="1">
        <f>(All_India_Index_Upto_April23_CPI_data[[#This Row],[General index]]-AI175)/AI175</f>
        <v>1.1021307861866276E-2</v>
      </c>
    </row>
    <row r="179" spans="1:36" x14ac:dyDescent="0.25">
      <c r="A179" t="s">
        <v>30</v>
      </c>
      <c r="B179">
        <v>2017</v>
      </c>
      <c r="C179" t="s">
        <v>44</v>
      </c>
      <c r="D179" s="2">
        <v>136.4</v>
      </c>
      <c r="E179" s="2">
        <v>143.69999999999999</v>
      </c>
      <c r="F179" s="2">
        <v>144.80000000000001</v>
      </c>
      <c r="G179" s="2">
        <v>141.9</v>
      </c>
      <c r="H179" s="2">
        <v>123.1</v>
      </c>
      <c r="I179" s="2">
        <v>147.19999999999999</v>
      </c>
      <c r="J179" s="2">
        <v>161</v>
      </c>
      <c r="K179" s="2">
        <v>133.80000000000001</v>
      </c>
      <c r="L179" s="2">
        <v>121.9</v>
      </c>
      <c r="M179" s="2">
        <v>135.80000000000001</v>
      </c>
      <c r="N179" s="2">
        <v>131.1</v>
      </c>
      <c r="O179" s="2">
        <v>151.4</v>
      </c>
      <c r="P179" s="2">
        <v>141.5</v>
      </c>
      <c r="Q179" s="2">
        <v>153.19999999999999</v>
      </c>
      <c r="R179" s="2">
        <v>148</v>
      </c>
      <c r="S179" s="2">
        <v>141.9</v>
      </c>
      <c r="T179" s="2">
        <v>147.19999999999999</v>
      </c>
      <c r="U179" s="2">
        <v>0</v>
      </c>
      <c r="V179" s="2">
        <v>142.6</v>
      </c>
      <c r="W179" s="2">
        <v>139.5</v>
      </c>
      <c r="X179" s="2">
        <v>136.1</v>
      </c>
      <c r="Y179" s="2">
        <v>122</v>
      </c>
      <c r="Z179" s="2">
        <v>133.4</v>
      </c>
      <c r="AA179" s="2">
        <v>141.1</v>
      </c>
      <c r="AB179" s="2">
        <v>127.8</v>
      </c>
      <c r="AC179" s="2">
        <v>131.9</v>
      </c>
      <c r="AD179" s="2">
        <f>AVERAGE(All_India_Index_Upto_April23_CPI_data[[#This Row],[Cereals and products]:[Food and beverages]])</f>
        <v>139.50769230769231</v>
      </c>
      <c r="AE179" s="2">
        <f>AVERAGE(All_India_Index_Upto_April23_CPI_data[[#This Row],[Recreation and amusement]],All_India_Index_Upto_April23_CPI_data[[#This Row],[Pan, tobacco and intoxicants]])</f>
        <v>143.30000000000001</v>
      </c>
      <c r="AF179" s="2">
        <f>AVERAGE(All_India_Index_Upto_April23_CPI_data[[#This Row],[Household goods and services]],All_India_Index_Upto_April23_CPI_data[[#This Row],[Housing]])</f>
        <v>69.75</v>
      </c>
      <c r="AG179" s="2">
        <f>AVERAGE(All_India_Index_Upto_April23_CPI_data[[#This Row],[Personal care and effects]],All_India_Index_Upto_April23_CPI_data[[#This Row],[Health]])</f>
        <v>131.94999999999999</v>
      </c>
      <c r="AH179" s="2">
        <f>AVERAGE(All_India_Index_Upto_April23_CPI_data[[#This Row],[Clothing]:[Clothing and footwear]])</f>
        <v>145.69999999999999</v>
      </c>
      <c r="AI179" s="2">
        <v>139.80000000000001</v>
      </c>
      <c r="AJ179" s="1">
        <f>(All_India_Index_Upto_April23_CPI_data[[#This Row],[General index]]-AI176)/AI176</f>
        <v>-1.4285714285713475E-3</v>
      </c>
    </row>
    <row r="180" spans="1:36" x14ac:dyDescent="0.25">
      <c r="A180" t="s">
        <v>32</v>
      </c>
      <c r="B180">
        <v>2017</v>
      </c>
      <c r="C180" t="s">
        <v>44</v>
      </c>
      <c r="D180" s="2">
        <v>134.4</v>
      </c>
      <c r="E180" s="2">
        <v>142.6</v>
      </c>
      <c r="F180" s="2">
        <v>145.9</v>
      </c>
      <c r="G180" s="2">
        <v>139.5</v>
      </c>
      <c r="H180" s="2">
        <v>115.9</v>
      </c>
      <c r="I180" s="2">
        <v>135</v>
      </c>
      <c r="J180" s="2">
        <v>163.19999999999999</v>
      </c>
      <c r="K180" s="2">
        <v>119.8</v>
      </c>
      <c r="L180" s="2">
        <v>120.7</v>
      </c>
      <c r="M180" s="2">
        <v>139.69999999999999</v>
      </c>
      <c r="N180" s="2">
        <v>125.7</v>
      </c>
      <c r="O180" s="2">
        <v>146.30000000000001</v>
      </c>
      <c r="P180" s="2">
        <v>138.80000000000001</v>
      </c>
      <c r="Q180" s="2">
        <v>157</v>
      </c>
      <c r="R180" s="2">
        <v>135.6</v>
      </c>
      <c r="S180" s="2">
        <v>125.6</v>
      </c>
      <c r="T180" s="2">
        <v>134</v>
      </c>
      <c r="U180" s="2">
        <v>139.1</v>
      </c>
      <c r="V180" s="2">
        <v>126.8</v>
      </c>
      <c r="W180" s="2">
        <v>129.30000000000001</v>
      </c>
      <c r="X180" s="2">
        <v>128.19999999999999</v>
      </c>
      <c r="Y180" s="2">
        <v>115.3</v>
      </c>
      <c r="Z180" s="2">
        <v>125.6</v>
      </c>
      <c r="AA180" s="2">
        <v>136.69999999999999</v>
      </c>
      <c r="AB180" s="2">
        <v>124.6</v>
      </c>
      <c r="AC180" s="2">
        <v>125.1</v>
      </c>
      <c r="AD180" s="2">
        <f>AVERAGE(All_India_Index_Upto_April23_CPI_data[[#This Row],[Cereals and products]:[Food and beverages]])</f>
        <v>135.96153846153845</v>
      </c>
      <c r="AE180" s="2">
        <f>AVERAGE(All_India_Index_Upto_April23_CPI_data[[#This Row],[Recreation and amusement]],All_India_Index_Upto_April23_CPI_data[[#This Row],[Pan, tobacco and intoxicants]])</f>
        <v>141.30000000000001</v>
      </c>
      <c r="AF180" s="2">
        <f>AVERAGE(All_India_Index_Upto_April23_CPI_data[[#This Row],[Household goods and services]],All_India_Index_Upto_April23_CPI_data[[#This Row],[Housing]])</f>
        <v>134.19999999999999</v>
      </c>
      <c r="AG180" s="2">
        <f>AVERAGE(All_India_Index_Upto_April23_CPI_data[[#This Row],[Personal care and effects]],All_India_Index_Upto_April23_CPI_data[[#This Row],[Health]])</f>
        <v>126.39999999999999</v>
      </c>
      <c r="AH180" s="2">
        <f>AVERAGE(All_India_Index_Upto_April23_CPI_data[[#This Row],[Clothing]:[Clothing and footwear]])</f>
        <v>131.73333333333332</v>
      </c>
      <c r="AI180" s="2">
        <v>134.1</v>
      </c>
      <c r="AJ180" s="1">
        <f>(All_India_Index_Upto_April23_CPI_data[[#This Row],[General index]]-AI177)/AI177</f>
        <v>-5.1928783382790581E-3</v>
      </c>
    </row>
    <row r="181" spans="1:36" x14ac:dyDescent="0.25">
      <c r="A181" t="s">
        <v>33</v>
      </c>
      <c r="B181">
        <v>2017</v>
      </c>
      <c r="C181" t="s">
        <v>44</v>
      </c>
      <c r="D181" s="2">
        <v>135.80000000000001</v>
      </c>
      <c r="E181" s="2">
        <v>143.30000000000001</v>
      </c>
      <c r="F181" s="2">
        <v>145.19999999999999</v>
      </c>
      <c r="G181" s="2">
        <v>141</v>
      </c>
      <c r="H181" s="2">
        <v>120.5</v>
      </c>
      <c r="I181" s="2">
        <v>141.5</v>
      </c>
      <c r="J181" s="2">
        <v>161.69999999999999</v>
      </c>
      <c r="K181" s="2">
        <v>129.1</v>
      </c>
      <c r="L181" s="2">
        <v>121.5</v>
      </c>
      <c r="M181" s="2">
        <v>137.1</v>
      </c>
      <c r="N181" s="2">
        <v>128.80000000000001</v>
      </c>
      <c r="O181" s="2">
        <v>149</v>
      </c>
      <c r="P181" s="2">
        <v>140.5</v>
      </c>
      <c r="Q181" s="2">
        <v>154.19999999999999</v>
      </c>
      <c r="R181" s="2">
        <v>143.1</v>
      </c>
      <c r="S181" s="2">
        <v>135.1</v>
      </c>
      <c r="T181" s="2">
        <v>142</v>
      </c>
      <c r="U181" s="2">
        <v>139.1</v>
      </c>
      <c r="V181" s="2">
        <v>136.6</v>
      </c>
      <c r="W181" s="2">
        <v>134.69999999999999</v>
      </c>
      <c r="X181" s="2">
        <v>133.1</v>
      </c>
      <c r="Y181" s="2">
        <v>118.5</v>
      </c>
      <c r="Z181" s="2">
        <v>129</v>
      </c>
      <c r="AA181" s="2">
        <v>138.5</v>
      </c>
      <c r="AB181" s="2">
        <v>126.5</v>
      </c>
      <c r="AC181" s="2">
        <v>128.6</v>
      </c>
      <c r="AD181" s="2">
        <f>AVERAGE(All_India_Index_Upto_April23_CPI_data[[#This Row],[Cereals and products]:[Food and beverages]])</f>
        <v>138.07692307692307</v>
      </c>
      <c r="AE181" s="2">
        <f>AVERAGE(All_India_Index_Upto_April23_CPI_data[[#This Row],[Recreation and amusement]],All_India_Index_Upto_April23_CPI_data[[#This Row],[Pan, tobacco and intoxicants]])</f>
        <v>141.6</v>
      </c>
      <c r="AF181" s="2">
        <f>AVERAGE(All_India_Index_Upto_April23_CPI_data[[#This Row],[Household goods and services]],All_India_Index_Upto_April23_CPI_data[[#This Row],[Housing]])</f>
        <v>136.89999999999998</v>
      </c>
      <c r="AG181" s="2">
        <f>AVERAGE(All_India_Index_Upto_April23_CPI_data[[#This Row],[Personal care and effects]],All_India_Index_Upto_April23_CPI_data[[#This Row],[Health]])</f>
        <v>129.80000000000001</v>
      </c>
      <c r="AH181" s="2">
        <f>AVERAGE(All_India_Index_Upto_April23_CPI_data[[#This Row],[Clothing]:[Clothing and footwear]])</f>
        <v>140.06666666666666</v>
      </c>
      <c r="AI181" s="2">
        <v>137.19999999999999</v>
      </c>
      <c r="AJ181" s="1">
        <f>(All_India_Index_Upto_April23_CPI_data[[#This Row],[General index]]-AI178)/AI178</f>
        <v>-2.9069767441860881E-3</v>
      </c>
    </row>
    <row r="182" spans="1:36" x14ac:dyDescent="0.25">
      <c r="A182" t="s">
        <v>30</v>
      </c>
      <c r="B182">
        <v>2018</v>
      </c>
      <c r="C182" t="s">
        <v>31</v>
      </c>
      <c r="D182" s="2">
        <v>136.6</v>
      </c>
      <c r="E182" s="2">
        <v>144.4</v>
      </c>
      <c r="F182" s="2">
        <v>143.80000000000001</v>
      </c>
      <c r="G182" s="2">
        <v>142</v>
      </c>
      <c r="H182" s="2">
        <v>123.2</v>
      </c>
      <c r="I182" s="2">
        <v>147.9</v>
      </c>
      <c r="J182" s="2">
        <v>152.1</v>
      </c>
      <c r="K182" s="2">
        <v>131.80000000000001</v>
      </c>
      <c r="L182" s="2">
        <v>119.5</v>
      </c>
      <c r="M182" s="2">
        <v>136</v>
      </c>
      <c r="N182" s="2">
        <v>131.19999999999999</v>
      </c>
      <c r="O182" s="2">
        <v>151.80000000000001</v>
      </c>
      <c r="P182" s="2">
        <v>140.4</v>
      </c>
      <c r="Q182" s="2">
        <v>153.6</v>
      </c>
      <c r="R182" s="2">
        <v>148.30000000000001</v>
      </c>
      <c r="S182" s="2">
        <v>142.30000000000001</v>
      </c>
      <c r="T182" s="2">
        <v>147.5</v>
      </c>
      <c r="U182" s="2">
        <v>0</v>
      </c>
      <c r="V182" s="2">
        <v>142.30000000000001</v>
      </c>
      <c r="W182" s="2">
        <v>139.80000000000001</v>
      </c>
      <c r="X182" s="2">
        <v>136</v>
      </c>
      <c r="Y182" s="2">
        <v>122.7</v>
      </c>
      <c r="Z182" s="2">
        <v>134.30000000000001</v>
      </c>
      <c r="AA182" s="2">
        <v>141.6</v>
      </c>
      <c r="AB182" s="2">
        <v>128.6</v>
      </c>
      <c r="AC182" s="2">
        <v>132.30000000000001</v>
      </c>
      <c r="AD182" s="2">
        <f>AVERAGE(All_India_Index_Upto_April23_CPI_data[[#This Row],[Cereals and products]:[Food and beverages]])</f>
        <v>138.51538461538462</v>
      </c>
      <c r="AE182" s="2">
        <f>AVERAGE(All_India_Index_Upto_April23_CPI_data[[#This Row],[Recreation and amusement]],All_India_Index_Upto_April23_CPI_data[[#This Row],[Pan, tobacco and intoxicants]])</f>
        <v>143.94999999999999</v>
      </c>
      <c r="AF182" s="2">
        <f>AVERAGE(All_India_Index_Upto_April23_CPI_data[[#This Row],[Household goods and services]],All_India_Index_Upto_April23_CPI_data[[#This Row],[Housing]])</f>
        <v>69.900000000000006</v>
      </c>
      <c r="AG182" s="2">
        <f>AVERAGE(All_India_Index_Upto_April23_CPI_data[[#This Row],[Personal care and effects]],All_India_Index_Upto_April23_CPI_data[[#This Row],[Health]])</f>
        <v>132.30000000000001</v>
      </c>
      <c r="AH182" s="2">
        <f>AVERAGE(All_India_Index_Upto_April23_CPI_data[[#This Row],[Clothing]:[Clothing and footwear]])</f>
        <v>146.03333333333333</v>
      </c>
      <c r="AI182" s="2">
        <v>139.30000000000001</v>
      </c>
      <c r="AJ182" s="1">
        <f>(All_India_Index_Upto_April23_CPI_data[[#This Row],[General index]]-AI179)/AI179</f>
        <v>-3.5765379113018594E-3</v>
      </c>
    </row>
    <row r="183" spans="1:36" x14ac:dyDescent="0.25">
      <c r="A183" t="s">
        <v>32</v>
      </c>
      <c r="B183">
        <v>2018</v>
      </c>
      <c r="C183" t="s">
        <v>31</v>
      </c>
      <c r="D183" s="2">
        <v>134.6</v>
      </c>
      <c r="E183" s="2">
        <v>143.69999999999999</v>
      </c>
      <c r="F183" s="2">
        <v>143.6</v>
      </c>
      <c r="G183" s="2">
        <v>139.6</v>
      </c>
      <c r="H183" s="2">
        <v>116.4</v>
      </c>
      <c r="I183" s="2">
        <v>133.80000000000001</v>
      </c>
      <c r="J183" s="2">
        <v>150.5</v>
      </c>
      <c r="K183" s="2">
        <v>118.4</v>
      </c>
      <c r="L183" s="2">
        <v>117.3</v>
      </c>
      <c r="M183" s="2">
        <v>140.5</v>
      </c>
      <c r="N183" s="2">
        <v>125.9</v>
      </c>
      <c r="O183" s="2">
        <v>146.80000000000001</v>
      </c>
      <c r="P183" s="2">
        <v>137.19999999999999</v>
      </c>
      <c r="Q183" s="2">
        <v>157.69999999999999</v>
      </c>
      <c r="R183" s="2">
        <v>136</v>
      </c>
      <c r="S183" s="2">
        <v>125.9</v>
      </c>
      <c r="T183" s="2">
        <v>134.4</v>
      </c>
      <c r="U183" s="2">
        <v>140.4</v>
      </c>
      <c r="V183" s="2">
        <v>127.3</v>
      </c>
      <c r="W183" s="2">
        <v>129.5</v>
      </c>
      <c r="X183" s="2">
        <v>129</v>
      </c>
      <c r="Y183" s="2">
        <v>116.3</v>
      </c>
      <c r="Z183" s="2">
        <v>126.2</v>
      </c>
      <c r="AA183" s="2">
        <v>137.1</v>
      </c>
      <c r="AB183" s="2">
        <v>125.5</v>
      </c>
      <c r="AC183" s="2">
        <v>125.8</v>
      </c>
      <c r="AD183" s="2">
        <f>AVERAGE(All_India_Index_Upto_April23_CPI_data[[#This Row],[Cereals and products]:[Food and beverages]])</f>
        <v>134.48461538461541</v>
      </c>
      <c r="AE183" s="2">
        <f>AVERAGE(All_India_Index_Upto_April23_CPI_data[[#This Row],[Recreation and amusement]],All_India_Index_Upto_April23_CPI_data[[#This Row],[Pan, tobacco and intoxicants]])</f>
        <v>141.94999999999999</v>
      </c>
      <c r="AF183" s="2">
        <f>AVERAGE(All_India_Index_Upto_April23_CPI_data[[#This Row],[Household goods and services]],All_India_Index_Upto_April23_CPI_data[[#This Row],[Housing]])</f>
        <v>134.94999999999999</v>
      </c>
      <c r="AG183" s="2">
        <f>AVERAGE(All_India_Index_Upto_April23_CPI_data[[#This Row],[Personal care and effects]],All_India_Index_Upto_April23_CPI_data[[#This Row],[Health]])</f>
        <v>127.25</v>
      </c>
      <c r="AH183" s="2">
        <f>AVERAGE(All_India_Index_Upto_April23_CPI_data[[#This Row],[Clothing]:[Clothing and footwear]])</f>
        <v>132.1</v>
      </c>
      <c r="AI183" s="2">
        <v>134.1</v>
      </c>
      <c r="AJ183" s="1">
        <f>(All_India_Index_Upto_April23_CPI_data[[#This Row],[General index]]-AI180)/AI180</f>
        <v>0</v>
      </c>
    </row>
    <row r="184" spans="1:36" x14ac:dyDescent="0.25">
      <c r="A184" t="s">
        <v>33</v>
      </c>
      <c r="B184">
        <v>2018</v>
      </c>
      <c r="C184" t="s">
        <v>31</v>
      </c>
      <c r="D184" s="2">
        <v>136</v>
      </c>
      <c r="E184" s="2">
        <v>144.19999999999999</v>
      </c>
      <c r="F184" s="2">
        <v>143.69999999999999</v>
      </c>
      <c r="G184" s="2">
        <v>141.1</v>
      </c>
      <c r="H184" s="2">
        <v>120.7</v>
      </c>
      <c r="I184" s="2">
        <v>141.30000000000001</v>
      </c>
      <c r="J184" s="2">
        <v>151.6</v>
      </c>
      <c r="K184" s="2">
        <v>127.3</v>
      </c>
      <c r="L184" s="2">
        <v>118.8</v>
      </c>
      <c r="M184" s="2">
        <v>137.5</v>
      </c>
      <c r="N184" s="2">
        <v>129</v>
      </c>
      <c r="O184" s="2">
        <v>149.5</v>
      </c>
      <c r="P184" s="2">
        <v>139.19999999999999</v>
      </c>
      <c r="Q184" s="2">
        <v>154.69999999999999</v>
      </c>
      <c r="R184" s="2">
        <v>143.5</v>
      </c>
      <c r="S184" s="2">
        <v>135.5</v>
      </c>
      <c r="T184" s="2">
        <v>142.30000000000001</v>
      </c>
      <c r="U184" s="2">
        <v>140.4</v>
      </c>
      <c r="V184" s="2">
        <v>136.6</v>
      </c>
      <c r="W184" s="2">
        <v>134.9</v>
      </c>
      <c r="X184" s="2">
        <v>133.30000000000001</v>
      </c>
      <c r="Y184" s="2">
        <v>119.3</v>
      </c>
      <c r="Z184" s="2">
        <v>129.69999999999999</v>
      </c>
      <c r="AA184" s="2">
        <v>139</v>
      </c>
      <c r="AB184" s="2">
        <v>127.3</v>
      </c>
      <c r="AC184" s="2">
        <v>129.1</v>
      </c>
      <c r="AD184" s="2">
        <f>AVERAGE(All_India_Index_Upto_April23_CPI_data[[#This Row],[Cereals and products]:[Food and beverages]])</f>
        <v>136.91538461538462</v>
      </c>
      <c r="AE184" s="2">
        <f>AVERAGE(All_India_Index_Upto_April23_CPI_data[[#This Row],[Recreation and amusement]],All_India_Index_Upto_April23_CPI_data[[#This Row],[Pan, tobacco and intoxicants]])</f>
        <v>142.19999999999999</v>
      </c>
      <c r="AF184" s="2">
        <f>AVERAGE(All_India_Index_Upto_April23_CPI_data[[#This Row],[Household goods and services]],All_India_Index_Upto_April23_CPI_data[[#This Row],[Housing]])</f>
        <v>137.65</v>
      </c>
      <c r="AG184" s="2">
        <f>AVERAGE(All_India_Index_Upto_April23_CPI_data[[#This Row],[Personal care and effects]],All_India_Index_Upto_April23_CPI_data[[#This Row],[Health]])</f>
        <v>130.30000000000001</v>
      </c>
      <c r="AH184" s="2">
        <f>AVERAGE(All_India_Index_Upto_April23_CPI_data[[#This Row],[Clothing]:[Clothing and footwear]])</f>
        <v>140.43333333333334</v>
      </c>
      <c r="AI184" s="2">
        <v>136.9</v>
      </c>
      <c r="AJ184" s="1">
        <f>(All_India_Index_Upto_April23_CPI_data[[#This Row],[General index]]-AI181)/AI181</f>
        <v>-2.1865889212826749E-3</v>
      </c>
    </row>
    <row r="185" spans="1:36" x14ac:dyDescent="0.25">
      <c r="A185" t="s">
        <v>30</v>
      </c>
      <c r="B185">
        <v>2018</v>
      </c>
      <c r="C185" t="s">
        <v>34</v>
      </c>
      <c r="D185" s="2">
        <v>136.4</v>
      </c>
      <c r="E185" s="2">
        <v>143.69999999999999</v>
      </c>
      <c r="F185" s="2">
        <v>140.6</v>
      </c>
      <c r="G185" s="2">
        <v>141.5</v>
      </c>
      <c r="H185" s="2">
        <v>122.9</v>
      </c>
      <c r="I185" s="2">
        <v>149.4</v>
      </c>
      <c r="J185" s="2">
        <v>142.4</v>
      </c>
      <c r="K185" s="2">
        <v>130.19999999999999</v>
      </c>
      <c r="L185" s="2">
        <v>117.9</v>
      </c>
      <c r="M185" s="2">
        <v>135.6</v>
      </c>
      <c r="N185" s="2">
        <v>130.5</v>
      </c>
      <c r="O185" s="2">
        <v>151.69999999999999</v>
      </c>
      <c r="P185" s="2">
        <v>138.69999999999999</v>
      </c>
      <c r="Q185" s="2">
        <v>153.30000000000001</v>
      </c>
      <c r="R185" s="2">
        <v>148.69999999999999</v>
      </c>
      <c r="S185" s="2">
        <v>142.4</v>
      </c>
      <c r="T185" s="2">
        <v>147.80000000000001</v>
      </c>
      <c r="U185" s="2">
        <v>0</v>
      </c>
      <c r="V185" s="2">
        <v>142.4</v>
      </c>
      <c r="W185" s="2">
        <v>139.9</v>
      </c>
      <c r="X185" s="2">
        <v>136.19999999999999</v>
      </c>
      <c r="Y185" s="2">
        <v>123.3</v>
      </c>
      <c r="Z185" s="2">
        <v>134.30000000000001</v>
      </c>
      <c r="AA185" s="2">
        <v>141.5</v>
      </c>
      <c r="AB185" s="2">
        <v>128.80000000000001</v>
      </c>
      <c r="AC185" s="2">
        <v>132.5</v>
      </c>
      <c r="AD185" s="2">
        <f>AVERAGE(All_India_Index_Upto_April23_CPI_data[[#This Row],[Cereals and products]:[Food and beverages]])</f>
        <v>137.03846153846155</v>
      </c>
      <c r="AE185" s="2">
        <f>AVERAGE(All_India_Index_Upto_April23_CPI_data[[#This Row],[Recreation and amusement]],All_India_Index_Upto_April23_CPI_data[[#This Row],[Pan, tobacco and intoxicants]])</f>
        <v>143.80000000000001</v>
      </c>
      <c r="AF185" s="2">
        <f>AVERAGE(All_India_Index_Upto_April23_CPI_data[[#This Row],[Household goods and services]],All_India_Index_Upto_April23_CPI_data[[#This Row],[Housing]])</f>
        <v>69.95</v>
      </c>
      <c r="AG185" s="2">
        <f>AVERAGE(All_India_Index_Upto_April23_CPI_data[[#This Row],[Personal care and effects]],All_India_Index_Upto_April23_CPI_data[[#This Row],[Health]])</f>
        <v>132.5</v>
      </c>
      <c r="AH185" s="2">
        <f>AVERAGE(All_India_Index_Upto_April23_CPI_data[[#This Row],[Clothing]:[Clothing and footwear]])</f>
        <v>146.30000000000001</v>
      </c>
      <c r="AI185" s="2">
        <v>138.5</v>
      </c>
      <c r="AJ185" s="1">
        <f>(All_India_Index_Upto_April23_CPI_data[[#This Row],[General index]]-AI182)/AI182</f>
        <v>-5.7430007178751706E-3</v>
      </c>
    </row>
    <row r="186" spans="1:36" x14ac:dyDescent="0.25">
      <c r="A186" t="s">
        <v>32</v>
      </c>
      <c r="B186">
        <v>2018</v>
      </c>
      <c r="C186" t="s">
        <v>34</v>
      </c>
      <c r="D186" s="2">
        <v>134.80000000000001</v>
      </c>
      <c r="E186" s="2">
        <v>143</v>
      </c>
      <c r="F186" s="2">
        <v>139.9</v>
      </c>
      <c r="G186" s="2">
        <v>139.9</v>
      </c>
      <c r="H186" s="2">
        <v>116.2</v>
      </c>
      <c r="I186" s="2">
        <v>135.5</v>
      </c>
      <c r="J186" s="2">
        <v>136.9</v>
      </c>
      <c r="K186" s="2">
        <v>117</v>
      </c>
      <c r="L186" s="2">
        <v>115.4</v>
      </c>
      <c r="M186" s="2">
        <v>140.69999999999999</v>
      </c>
      <c r="N186" s="2">
        <v>125.9</v>
      </c>
      <c r="O186" s="2">
        <v>147.1</v>
      </c>
      <c r="P186" s="2">
        <v>135.6</v>
      </c>
      <c r="Q186" s="2">
        <v>159.30000000000001</v>
      </c>
      <c r="R186" s="2">
        <v>136.30000000000001</v>
      </c>
      <c r="S186" s="2">
        <v>126.1</v>
      </c>
      <c r="T186" s="2">
        <v>134.69999999999999</v>
      </c>
      <c r="U186" s="2">
        <v>141.30000000000001</v>
      </c>
      <c r="V186" s="2">
        <v>127.3</v>
      </c>
      <c r="W186" s="2">
        <v>129.9</v>
      </c>
      <c r="X186" s="2">
        <v>129.80000000000001</v>
      </c>
      <c r="Y186" s="2">
        <v>117.4</v>
      </c>
      <c r="Z186" s="2">
        <v>126.5</v>
      </c>
      <c r="AA186" s="2">
        <v>137.19999999999999</v>
      </c>
      <c r="AB186" s="2">
        <v>126.2</v>
      </c>
      <c r="AC186" s="2">
        <v>126.5</v>
      </c>
      <c r="AD186" s="2">
        <f>AVERAGE(All_India_Index_Upto_April23_CPI_data[[#This Row],[Cereals and products]:[Food and beverages]])</f>
        <v>132.91538461538462</v>
      </c>
      <c r="AE186" s="2">
        <f>AVERAGE(All_India_Index_Upto_April23_CPI_data[[#This Row],[Recreation and amusement]],All_India_Index_Upto_April23_CPI_data[[#This Row],[Pan, tobacco and intoxicants]])</f>
        <v>142.9</v>
      </c>
      <c r="AF186" s="2">
        <f>AVERAGE(All_India_Index_Upto_April23_CPI_data[[#This Row],[Household goods and services]],All_India_Index_Upto_April23_CPI_data[[#This Row],[Housing]])</f>
        <v>135.60000000000002</v>
      </c>
      <c r="AG186" s="2">
        <f>AVERAGE(All_India_Index_Upto_April23_CPI_data[[#This Row],[Personal care and effects]],All_India_Index_Upto_April23_CPI_data[[#This Row],[Health]])</f>
        <v>128</v>
      </c>
      <c r="AH186" s="2">
        <f>AVERAGE(All_India_Index_Upto_April23_CPI_data[[#This Row],[Clothing]:[Clothing and footwear]])</f>
        <v>132.36666666666665</v>
      </c>
      <c r="AI186" s="2">
        <v>134</v>
      </c>
      <c r="AJ186" s="1">
        <f>(All_India_Index_Upto_April23_CPI_data[[#This Row],[General index]]-AI183)/AI183</f>
        <v>-7.4571215510808593E-4</v>
      </c>
    </row>
    <row r="187" spans="1:36" x14ac:dyDescent="0.25">
      <c r="A187" t="s">
        <v>33</v>
      </c>
      <c r="B187">
        <v>2018</v>
      </c>
      <c r="C187" t="s">
        <v>34</v>
      </c>
      <c r="D187" s="2">
        <v>135.9</v>
      </c>
      <c r="E187" s="2">
        <v>143.5</v>
      </c>
      <c r="F187" s="2">
        <v>140.30000000000001</v>
      </c>
      <c r="G187" s="2">
        <v>140.9</v>
      </c>
      <c r="H187" s="2">
        <v>120.4</v>
      </c>
      <c r="I187" s="2">
        <v>142.9</v>
      </c>
      <c r="J187" s="2">
        <v>140.5</v>
      </c>
      <c r="K187" s="2">
        <v>125.8</v>
      </c>
      <c r="L187" s="2">
        <v>117.1</v>
      </c>
      <c r="M187" s="2">
        <v>137.30000000000001</v>
      </c>
      <c r="N187" s="2">
        <v>128.6</v>
      </c>
      <c r="O187" s="2">
        <v>149.6</v>
      </c>
      <c r="P187" s="2">
        <v>137.6</v>
      </c>
      <c r="Q187" s="2">
        <v>154.9</v>
      </c>
      <c r="R187" s="2">
        <v>143.80000000000001</v>
      </c>
      <c r="S187" s="2">
        <v>135.6</v>
      </c>
      <c r="T187" s="2">
        <v>142.6</v>
      </c>
      <c r="U187" s="2">
        <v>141.30000000000001</v>
      </c>
      <c r="V187" s="2">
        <v>136.69999999999999</v>
      </c>
      <c r="W187" s="2">
        <v>135.19999999999999</v>
      </c>
      <c r="X187" s="2">
        <v>133.80000000000001</v>
      </c>
      <c r="Y187" s="2">
        <v>120.2</v>
      </c>
      <c r="Z187" s="2">
        <v>129.9</v>
      </c>
      <c r="AA187" s="2">
        <v>139</v>
      </c>
      <c r="AB187" s="2">
        <v>127.7</v>
      </c>
      <c r="AC187" s="2">
        <v>129.6</v>
      </c>
      <c r="AD187" s="2">
        <f>AVERAGE(All_India_Index_Upto_April23_CPI_data[[#This Row],[Cereals and products]:[Food and beverages]])</f>
        <v>135.4153846153846</v>
      </c>
      <c r="AE187" s="2">
        <f>AVERAGE(All_India_Index_Upto_April23_CPI_data[[#This Row],[Recreation and amusement]],All_India_Index_Upto_April23_CPI_data[[#This Row],[Pan, tobacco and intoxicants]])</f>
        <v>142.4</v>
      </c>
      <c r="AF187" s="2">
        <f>AVERAGE(All_India_Index_Upto_April23_CPI_data[[#This Row],[Household goods and services]],All_India_Index_Upto_April23_CPI_data[[#This Row],[Housing]])</f>
        <v>138.25</v>
      </c>
      <c r="AG187" s="2">
        <f>AVERAGE(All_India_Index_Upto_April23_CPI_data[[#This Row],[Personal care and effects]],All_India_Index_Upto_April23_CPI_data[[#This Row],[Health]])</f>
        <v>130.75</v>
      </c>
      <c r="AH187" s="2">
        <f>AVERAGE(All_India_Index_Upto_April23_CPI_data[[#This Row],[Clothing]:[Clothing and footwear]])</f>
        <v>140.66666666666666</v>
      </c>
      <c r="AI187" s="2">
        <v>136.4</v>
      </c>
      <c r="AJ187" s="1">
        <f>(All_India_Index_Upto_April23_CPI_data[[#This Row],[General index]]-AI184)/AI184</f>
        <v>-3.6523009495982466E-3</v>
      </c>
    </row>
    <row r="188" spans="1:36" x14ac:dyDescent="0.25">
      <c r="A188" t="s">
        <v>30</v>
      </c>
      <c r="B188">
        <v>2018</v>
      </c>
      <c r="C188" t="s">
        <v>35</v>
      </c>
      <c r="D188" s="2">
        <v>136.80000000000001</v>
      </c>
      <c r="E188" s="2">
        <v>143.80000000000001</v>
      </c>
      <c r="F188" s="2">
        <v>140</v>
      </c>
      <c r="G188" s="2">
        <v>142</v>
      </c>
      <c r="H188" s="2">
        <v>123.2</v>
      </c>
      <c r="I188" s="2">
        <v>152.9</v>
      </c>
      <c r="J188" s="2">
        <v>138</v>
      </c>
      <c r="K188" s="2">
        <v>129.30000000000001</v>
      </c>
      <c r="L188" s="2">
        <v>117.1</v>
      </c>
      <c r="M188" s="2">
        <v>136.30000000000001</v>
      </c>
      <c r="N188" s="2">
        <v>131.19999999999999</v>
      </c>
      <c r="O188" s="2">
        <v>152.80000000000001</v>
      </c>
      <c r="P188" s="2">
        <v>138.6</v>
      </c>
      <c r="Q188" s="2">
        <v>155.1</v>
      </c>
      <c r="R188" s="2">
        <v>149.19999999999999</v>
      </c>
      <c r="S188" s="2">
        <v>143</v>
      </c>
      <c r="T188" s="2">
        <v>148.30000000000001</v>
      </c>
      <c r="U188" s="2">
        <v>0</v>
      </c>
      <c r="V188" s="2">
        <v>142.6</v>
      </c>
      <c r="W188" s="2">
        <v>139.9</v>
      </c>
      <c r="X188" s="2">
        <v>136.69999999999999</v>
      </c>
      <c r="Y188" s="2">
        <v>124.6</v>
      </c>
      <c r="Z188" s="2">
        <v>135.1</v>
      </c>
      <c r="AA188" s="2">
        <v>142.69999999999999</v>
      </c>
      <c r="AB188" s="2">
        <v>129.30000000000001</v>
      </c>
      <c r="AC188" s="2">
        <v>133.30000000000001</v>
      </c>
      <c r="AD188" s="2">
        <f>AVERAGE(All_India_Index_Upto_April23_CPI_data[[#This Row],[Cereals and products]:[Food and beverages]])</f>
        <v>137.07692307692307</v>
      </c>
      <c r="AE188" s="2">
        <f>AVERAGE(All_India_Index_Upto_April23_CPI_data[[#This Row],[Recreation and amusement]],All_India_Index_Upto_April23_CPI_data[[#This Row],[Pan, tobacco and intoxicants]])</f>
        <v>145.1</v>
      </c>
      <c r="AF188" s="2">
        <f>AVERAGE(All_India_Index_Upto_April23_CPI_data[[#This Row],[Household goods and services]],All_India_Index_Upto_April23_CPI_data[[#This Row],[Housing]])</f>
        <v>69.95</v>
      </c>
      <c r="AG188" s="2">
        <f>AVERAGE(All_India_Index_Upto_April23_CPI_data[[#This Row],[Personal care and effects]],All_India_Index_Upto_April23_CPI_data[[#This Row],[Health]])</f>
        <v>133</v>
      </c>
      <c r="AH188" s="2">
        <f>AVERAGE(All_India_Index_Upto_April23_CPI_data[[#This Row],[Clothing]:[Clothing and footwear]])</f>
        <v>146.83333333333334</v>
      </c>
      <c r="AI188" s="2">
        <v>138.69999999999999</v>
      </c>
      <c r="AJ188" s="1">
        <f>(All_India_Index_Upto_April23_CPI_data[[#This Row],[General index]]-AI185)/AI185</f>
        <v>1.4440433212995569E-3</v>
      </c>
    </row>
    <row r="189" spans="1:36" x14ac:dyDescent="0.25">
      <c r="A189" t="s">
        <v>32</v>
      </c>
      <c r="B189">
        <v>2018</v>
      </c>
      <c r="C189" t="s">
        <v>35</v>
      </c>
      <c r="D189" s="2">
        <v>135</v>
      </c>
      <c r="E189" s="2">
        <v>143.1</v>
      </c>
      <c r="F189" s="2">
        <v>135.5</v>
      </c>
      <c r="G189" s="2">
        <v>139.9</v>
      </c>
      <c r="H189" s="2">
        <v>116.5</v>
      </c>
      <c r="I189" s="2">
        <v>138.5</v>
      </c>
      <c r="J189" s="2">
        <v>128</v>
      </c>
      <c r="K189" s="2">
        <v>115.5</v>
      </c>
      <c r="L189" s="2">
        <v>114.2</v>
      </c>
      <c r="M189" s="2">
        <v>140.69999999999999</v>
      </c>
      <c r="N189" s="2">
        <v>126.2</v>
      </c>
      <c r="O189" s="2">
        <v>147.6</v>
      </c>
      <c r="P189" s="2">
        <v>134.80000000000001</v>
      </c>
      <c r="Q189" s="2">
        <v>159.69999999999999</v>
      </c>
      <c r="R189" s="2">
        <v>136.69999999999999</v>
      </c>
      <c r="S189" s="2">
        <v>126.7</v>
      </c>
      <c r="T189" s="2">
        <v>135.19999999999999</v>
      </c>
      <c r="U189" s="2">
        <v>142</v>
      </c>
      <c r="V189" s="2">
        <v>126.4</v>
      </c>
      <c r="W189" s="2">
        <v>130.80000000000001</v>
      </c>
      <c r="X189" s="2">
        <v>130.5</v>
      </c>
      <c r="Y189" s="2">
        <v>117.8</v>
      </c>
      <c r="Z189" s="2">
        <v>126.8</v>
      </c>
      <c r="AA189" s="2">
        <v>137.80000000000001</v>
      </c>
      <c r="AB189" s="2">
        <v>126.7</v>
      </c>
      <c r="AC189" s="2">
        <v>127.1</v>
      </c>
      <c r="AD189" s="2">
        <f>AVERAGE(All_India_Index_Upto_April23_CPI_data[[#This Row],[Cereals and products]:[Food and beverages]])</f>
        <v>131.96153846153845</v>
      </c>
      <c r="AE189" s="2">
        <f>AVERAGE(All_India_Index_Upto_April23_CPI_data[[#This Row],[Recreation and amusement]],All_India_Index_Upto_April23_CPI_data[[#This Row],[Pan, tobacco and intoxicants]])</f>
        <v>143.25</v>
      </c>
      <c r="AF189" s="2">
        <f>AVERAGE(All_India_Index_Upto_April23_CPI_data[[#This Row],[Household goods and services]],All_India_Index_Upto_April23_CPI_data[[#This Row],[Housing]])</f>
        <v>136.4</v>
      </c>
      <c r="AG189" s="2">
        <f>AVERAGE(All_India_Index_Upto_April23_CPI_data[[#This Row],[Personal care and effects]],All_India_Index_Upto_April23_CPI_data[[#This Row],[Health]])</f>
        <v>128.6</v>
      </c>
      <c r="AH189" s="2">
        <f>AVERAGE(All_India_Index_Upto_April23_CPI_data[[#This Row],[Clothing]:[Clothing and footwear]])</f>
        <v>132.86666666666665</v>
      </c>
      <c r="AI189" s="2">
        <v>134</v>
      </c>
      <c r="AJ189" s="1">
        <f>(All_India_Index_Upto_April23_CPI_data[[#This Row],[General index]]-AI186)/AI186</f>
        <v>0</v>
      </c>
    </row>
    <row r="190" spans="1:36" x14ac:dyDescent="0.25">
      <c r="A190" t="s">
        <v>33</v>
      </c>
      <c r="B190">
        <v>2018</v>
      </c>
      <c r="C190" t="s">
        <v>35</v>
      </c>
      <c r="D190" s="2">
        <v>136.19999999999999</v>
      </c>
      <c r="E190" s="2">
        <v>143.6</v>
      </c>
      <c r="F190" s="2">
        <v>138.30000000000001</v>
      </c>
      <c r="G190" s="2">
        <v>141.19999999999999</v>
      </c>
      <c r="H190" s="2">
        <v>120.7</v>
      </c>
      <c r="I190" s="2">
        <v>146.19999999999999</v>
      </c>
      <c r="J190" s="2">
        <v>134.6</v>
      </c>
      <c r="K190" s="2">
        <v>124.6</v>
      </c>
      <c r="L190" s="2">
        <v>116.1</v>
      </c>
      <c r="M190" s="2">
        <v>137.80000000000001</v>
      </c>
      <c r="N190" s="2">
        <v>129.1</v>
      </c>
      <c r="O190" s="2">
        <v>150.4</v>
      </c>
      <c r="P190" s="2">
        <v>137.19999999999999</v>
      </c>
      <c r="Q190" s="2">
        <v>156.30000000000001</v>
      </c>
      <c r="R190" s="2">
        <v>144.30000000000001</v>
      </c>
      <c r="S190" s="2">
        <v>136.19999999999999</v>
      </c>
      <c r="T190" s="2">
        <v>143.1</v>
      </c>
      <c r="U190" s="2">
        <v>142</v>
      </c>
      <c r="V190" s="2">
        <v>136.5</v>
      </c>
      <c r="W190" s="2">
        <v>135.6</v>
      </c>
      <c r="X190" s="2">
        <v>134.30000000000001</v>
      </c>
      <c r="Y190" s="2">
        <v>121</v>
      </c>
      <c r="Z190" s="2">
        <v>130.4</v>
      </c>
      <c r="AA190" s="2">
        <v>139.80000000000001</v>
      </c>
      <c r="AB190" s="2">
        <v>128.19999999999999</v>
      </c>
      <c r="AC190" s="2">
        <v>130.30000000000001</v>
      </c>
      <c r="AD190" s="2">
        <f>AVERAGE(All_India_Index_Upto_April23_CPI_data[[#This Row],[Cereals and products]:[Food and beverages]])</f>
        <v>135.07692307692307</v>
      </c>
      <c r="AE190" s="2">
        <f>AVERAGE(All_India_Index_Upto_April23_CPI_data[[#This Row],[Recreation and amusement]],All_India_Index_Upto_April23_CPI_data[[#This Row],[Pan, tobacco and intoxicants]])</f>
        <v>143.35000000000002</v>
      </c>
      <c r="AF190" s="2">
        <f>AVERAGE(All_India_Index_Upto_April23_CPI_data[[#This Row],[Household goods and services]],All_India_Index_Upto_April23_CPI_data[[#This Row],[Housing]])</f>
        <v>138.80000000000001</v>
      </c>
      <c r="AG190" s="2">
        <f>AVERAGE(All_India_Index_Upto_April23_CPI_data[[#This Row],[Personal care and effects]],All_India_Index_Upto_April23_CPI_data[[#This Row],[Health]])</f>
        <v>131.25</v>
      </c>
      <c r="AH190" s="2">
        <f>AVERAGE(All_India_Index_Upto_April23_CPI_data[[#This Row],[Clothing]:[Clothing and footwear]])</f>
        <v>141.20000000000002</v>
      </c>
      <c r="AI190" s="2">
        <v>136.5</v>
      </c>
      <c r="AJ190" s="1">
        <f>(All_India_Index_Upto_April23_CPI_data[[#This Row],[General index]]-AI187)/AI187</f>
        <v>7.3313782991198172E-4</v>
      </c>
    </row>
    <row r="191" spans="1:36" x14ac:dyDescent="0.25">
      <c r="A191" t="s">
        <v>30</v>
      </c>
      <c r="B191">
        <v>2018</v>
      </c>
      <c r="C191" t="s">
        <v>36</v>
      </c>
      <c r="D191" s="2">
        <v>137.1</v>
      </c>
      <c r="E191" s="2">
        <v>144.5</v>
      </c>
      <c r="F191" s="2">
        <v>135.9</v>
      </c>
      <c r="G191" s="2">
        <v>142.4</v>
      </c>
      <c r="H191" s="2">
        <v>123.5</v>
      </c>
      <c r="I191" s="2">
        <v>156.4</v>
      </c>
      <c r="J191" s="2">
        <v>135.1</v>
      </c>
      <c r="K191" s="2">
        <v>128.4</v>
      </c>
      <c r="L191" s="2">
        <v>115.2</v>
      </c>
      <c r="M191" s="2">
        <v>137.19999999999999</v>
      </c>
      <c r="N191" s="2">
        <v>131.9</v>
      </c>
      <c r="O191" s="2">
        <v>153.80000000000001</v>
      </c>
      <c r="P191" s="2">
        <v>138.6</v>
      </c>
      <c r="Q191" s="2">
        <v>156.1</v>
      </c>
      <c r="R191" s="2">
        <v>150.1</v>
      </c>
      <c r="S191" s="2">
        <v>143.30000000000001</v>
      </c>
      <c r="T191" s="2">
        <v>149.1</v>
      </c>
      <c r="U191" s="2">
        <v>0</v>
      </c>
      <c r="V191" s="2">
        <v>143.80000000000001</v>
      </c>
      <c r="W191" s="2">
        <v>140.9</v>
      </c>
      <c r="X191" s="2">
        <v>137.6</v>
      </c>
      <c r="Y191" s="2">
        <v>125.3</v>
      </c>
      <c r="Z191" s="2">
        <v>136</v>
      </c>
      <c r="AA191" s="2">
        <v>143.69999999999999</v>
      </c>
      <c r="AB191" s="2">
        <v>130.4</v>
      </c>
      <c r="AC191" s="2">
        <v>134.19999999999999</v>
      </c>
      <c r="AD191" s="2">
        <f>AVERAGE(All_India_Index_Upto_April23_CPI_data[[#This Row],[Cereals and products]:[Food and beverages]])</f>
        <v>136.92307692307693</v>
      </c>
      <c r="AE191" s="2">
        <f>AVERAGE(All_India_Index_Upto_April23_CPI_data[[#This Row],[Recreation and amusement]],All_India_Index_Upto_April23_CPI_data[[#This Row],[Pan, tobacco and intoxicants]])</f>
        <v>146.05000000000001</v>
      </c>
      <c r="AF191" s="2">
        <f>AVERAGE(All_India_Index_Upto_April23_CPI_data[[#This Row],[Household goods and services]],All_India_Index_Upto_April23_CPI_data[[#This Row],[Housing]])</f>
        <v>70.45</v>
      </c>
      <c r="AG191" s="2">
        <f>AVERAGE(All_India_Index_Upto_April23_CPI_data[[#This Row],[Personal care and effects]],All_India_Index_Upto_April23_CPI_data[[#This Row],[Health]])</f>
        <v>134</v>
      </c>
      <c r="AH191" s="2">
        <f>AVERAGE(All_India_Index_Upto_April23_CPI_data[[#This Row],[Clothing]:[Clothing and footwear]])</f>
        <v>147.5</v>
      </c>
      <c r="AI191" s="2">
        <v>139.1</v>
      </c>
      <c r="AJ191" s="1">
        <f>(All_India_Index_Upto_April23_CPI_data[[#This Row],[General index]]-AI188)/AI188</f>
        <v>2.8839221341024203E-3</v>
      </c>
    </row>
    <row r="192" spans="1:36" x14ac:dyDescent="0.25">
      <c r="A192" t="s">
        <v>32</v>
      </c>
      <c r="B192">
        <v>2018</v>
      </c>
      <c r="C192" t="s">
        <v>36</v>
      </c>
      <c r="D192" s="2">
        <v>135</v>
      </c>
      <c r="E192" s="2">
        <v>144.30000000000001</v>
      </c>
      <c r="F192" s="2">
        <v>130.80000000000001</v>
      </c>
      <c r="G192" s="2">
        <v>140.30000000000001</v>
      </c>
      <c r="H192" s="2">
        <v>116.6</v>
      </c>
      <c r="I192" s="2">
        <v>150.1</v>
      </c>
      <c r="J192" s="2">
        <v>127.6</v>
      </c>
      <c r="K192" s="2">
        <v>114</v>
      </c>
      <c r="L192" s="2">
        <v>110.6</v>
      </c>
      <c r="M192" s="2">
        <v>140.19999999999999</v>
      </c>
      <c r="N192" s="2">
        <v>126.5</v>
      </c>
      <c r="O192" s="2">
        <v>148.30000000000001</v>
      </c>
      <c r="P192" s="2">
        <v>135.69999999999999</v>
      </c>
      <c r="Q192" s="2">
        <v>159.19999999999999</v>
      </c>
      <c r="R192" s="2">
        <v>137.80000000000001</v>
      </c>
      <c r="S192" s="2">
        <v>127.4</v>
      </c>
      <c r="T192" s="2">
        <v>136.19999999999999</v>
      </c>
      <c r="U192" s="2">
        <v>142.9</v>
      </c>
      <c r="V192" s="2">
        <v>124.6</v>
      </c>
      <c r="W192" s="2">
        <v>131.80000000000001</v>
      </c>
      <c r="X192" s="2">
        <v>131.30000000000001</v>
      </c>
      <c r="Y192" s="2">
        <v>118.9</v>
      </c>
      <c r="Z192" s="2">
        <v>127.6</v>
      </c>
      <c r="AA192" s="2">
        <v>139.69999999999999</v>
      </c>
      <c r="AB192" s="2">
        <v>127.6</v>
      </c>
      <c r="AC192" s="2">
        <v>128.19999999999999</v>
      </c>
      <c r="AD192" s="2">
        <f>AVERAGE(All_India_Index_Upto_April23_CPI_data[[#This Row],[Cereals and products]:[Food and beverages]])</f>
        <v>132.30769230769232</v>
      </c>
      <c r="AE192" s="2">
        <f>AVERAGE(All_India_Index_Upto_April23_CPI_data[[#This Row],[Recreation and amusement]],All_India_Index_Upto_April23_CPI_data[[#This Row],[Pan, tobacco and intoxicants]])</f>
        <v>143.39999999999998</v>
      </c>
      <c r="AF192" s="2">
        <f>AVERAGE(All_India_Index_Upto_April23_CPI_data[[#This Row],[Household goods and services]],All_India_Index_Upto_April23_CPI_data[[#This Row],[Housing]])</f>
        <v>137.35000000000002</v>
      </c>
      <c r="AG192" s="2">
        <f>AVERAGE(All_India_Index_Upto_April23_CPI_data[[#This Row],[Personal care and effects]],All_India_Index_Upto_April23_CPI_data[[#This Row],[Health]])</f>
        <v>129.44999999999999</v>
      </c>
      <c r="AH192" s="2">
        <f>AVERAGE(All_India_Index_Upto_April23_CPI_data[[#This Row],[Clothing]:[Clothing and footwear]])</f>
        <v>133.80000000000001</v>
      </c>
      <c r="AI192" s="2">
        <v>134.80000000000001</v>
      </c>
      <c r="AJ192" s="1">
        <f>(All_India_Index_Upto_April23_CPI_data[[#This Row],[General index]]-AI189)/AI189</f>
        <v>5.9701492537314283E-3</v>
      </c>
    </row>
    <row r="193" spans="1:36" x14ac:dyDescent="0.25">
      <c r="A193" t="s">
        <v>33</v>
      </c>
      <c r="B193">
        <v>2018</v>
      </c>
      <c r="C193" t="s">
        <v>36</v>
      </c>
      <c r="D193" s="2">
        <v>136.4</v>
      </c>
      <c r="E193" s="2">
        <v>144.4</v>
      </c>
      <c r="F193" s="2">
        <v>133.9</v>
      </c>
      <c r="G193" s="2">
        <v>141.6</v>
      </c>
      <c r="H193" s="2">
        <v>121</v>
      </c>
      <c r="I193" s="2">
        <v>153.5</v>
      </c>
      <c r="J193" s="2">
        <v>132.6</v>
      </c>
      <c r="K193" s="2">
        <v>123.5</v>
      </c>
      <c r="L193" s="2">
        <v>113.7</v>
      </c>
      <c r="M193" s="2">
        <v>138.19999999999999</v>
      </c>
      <c r="N193" s="2">
        <v>129.6</v>
      </c>
      <c r="O193" s="2">
        <v>151.19999999999999</v>
      </c>
      <c r="P193" s="2">
        <v>137.5</v>
      </c>
      <c r="Q193" s="2">
        <v>156.9</v>
      </c>
      <c r="R193" s="2">
        <v>145.30000000000001</v>
      </c>
      <c r="S193" s="2">
        <v>136.69999999999999</v>
      </c>
      <c r="T193" s="2">
        <v>144</v>
      </c>
      <c r="U193" s="2">
        <v>142.9</v>
      </c>
      <c r="V193" s="2">
        <v>136.5</v>
      </c>
      <c r="W193" s="2">
        <v>136.6</v>
      </c>
      <c r="X193" s="2">
        <v>135.19999999999999</v>
      </c>
      <c r="Y193" s="2">
        <v>121.9</v>
      </c>
      <c r="Z193" s="2">
        <v>131.30000000000001</v>
      </c>
      <c r="AA193" s="2">
        <v>141.4</v>
      </c>
      <c r="AB193" s="2">
        <v>129.19999999999999</v>
      </c>
      <c r="AC193" s="2">
        <v>131.30000000000001</v>
      </c>
      <c r="AD193" s="2">
        <f>AVERAGE(All_India_Index_Upto_April23_CPI_data[[#This Row],[Cereals and products]:[Food and beverages]])</f>
        <v>135.16153846153847</v>
      </c>
      <c r="AE193" s="2">
        <f>AVERAGE(All_India_Index_Upto_April23_CPI_data[[#This Row],[Recreation and amusement]],All_India_Index_Upto_April23_CPI_data[[#This Row],[Pan, tobacco and intoxicants]])</f>
        <v>144.10000000000002</v>
      </c>
      <c r="AF193" s="2">
        <f>AVERAGE(All_India_Index_Upto_April23_CPI_data[[#This Row],[Household goods and services]],All_India_Index_Upto_April23_CPI_data[[#This Row],[Housing]])</f>
        <v>139.75</v>
      </c>
      <c r="AG193" s="2">
        <f>AVERAGE(All_India_Index_Upto_April23_CPI_data[[#This Row],[Personal care and effects]],All_India_Index_Upto_April23_CPI_data[[#This Row],[Health]])</f>
        <v>132.19999999999999</v>
      </c>
      <c r="AH193" s="2">
        <f>AVERAGE(All_India_Index_Upto_April23_CPI_data[[#This Row],[Clothing]:[Clothing and footwear]])</f>
        <v>142</v>
      </c>
      <c r="AI193" s="2">
        <v>137.1</v>
      </c>
      <c r="AJ193" s="1">
        <f>(All_India_Index_Upto_April23_CPI_data[[#This Row],[General index]]-AI190)/AI190</f>
        <v>4.395604395604354E-3</v>
      </c>
    </row>
    <row r="194" spans="1:36" x14ac:dyDescent="0.25">
      <c r="A194" t="s">
        <v>30</v>
      </c>
      <c r="B194">
        <v>2018</v>
      </c>
      <c r="C194" t="s">
        <v>37</v>
      </c>
      <c r="D194" s="2">
        <v>137.4</v>
      </c>
      <c r="E194" s="2">
        <v>145.69999999999999</v>
      </c>
      <c r="F194" s="2">
        <v>135.5</v>
      </c>
      <c r="G194" s="2">
        <v>142.9</v>
      </c>
      <c r="H194" s="2">
        <v>123.6</v>
      </c>
      <c r="I194" s="2">
        <v>157.5</v>
      </c>
      <c r="J194" s="2">
        <v>137.80000000000001</v>
      </c>
      <c r="K194" s="2">
        <v>127.2</v>
      </c>
      <c r="L194" s="2">
        <v>111.8</v>
      </c>
      <c r="M194" s="2">
        <v>137.4</v>
      </c>
      <c r="N194" s="2">
        <v>132.19999999999999</v>
      </c>
      <c r="O194" s="2">
        <v>154.30000000000001</v>
      </c>
      <c r="P194" s="2">
        <v>139.1</v>
      </c>
      <c r="Q194" s="2">
        <v>157</v>
      </c>
      <c r="R194" s="2">
        <v>150.80000000000001</v>
      </c>
      <c r="S194" s="2">
        <v>144.1</v>
      </c>
      <c r="T194" s="2">
        <v>149.80000000000001</v>
      </c>
      <c r="U194" s="2">
        <v>0</v>
      </c>
      <c r="V194" s="2">
        <v>144.30000000000001</v>
      </c>
      <c r="W194" s="2">
        <v>141.80000000000001</v>
      </c>
      <c r="X194" s="2">
        <v>138.4</v>
      </c>
      <c r="Y194" s="2">
        <v>126.4</v>
      </c>
      <c r="Z194" s="2">
        <v>136.80000000000001</v>
      </c>
      <c r="AA194" s="2">
        <v>144.4</v>
      </c>
      <c r="AB194" s="2">
        <v>131.19999999999999</v>
      </c>
      <c r="AC194" s="2">
        <v>135.1</v>
      </c>
      <c r="AD194" s="2">
        <f>AVERAGE(All_India_Index_Upto_April23_CPI_data[[#This Row],[Cereals and products]:[Food and beverages]])</f>
        <v>137.1076923076923</v>
      </c>
      <c r="AE194" s="2">
        <f>AVERAGE(All_India_Index_Upto_April23_CPI_data[[#This Row],[Recreation and amusement]],All_India_Index_Upto_April23_CPI_data[[#This Row],[Pan, tobacco and intoxicants]])</f>
        <v>146.9</v>
      </c>
      <c r="AF194" s="2">
        <f>AVERAGE(All_India_Index_Upto_April23_CPI_data[[#This Row],[Household goods and services]],All_India_Index_Upto_April23_CPI_data[[#This Row],[Housing]])</f>
        <v>70.900000000000006</v>
      </c>
      <c r="AG194" s="2">
        <f>AVERAGE(All_India_Index_Upto_April23_CPI_data[[#This Row],[Personal care and effects]],All_India_Index_Upto_April23_CPI_data[[#This Row],[Health]])</f>
        <v>134.80000000000001</v>
      </c>
      <c r="AH194" s="2">
        <f>AVERAGE(All_India_Index_Upto_April23_CPI_data[[#This Row],[Clothing]:[Clothing and footwear]])</f>
        <v>148.23333333333332</v>
      </c>
      <c r="AI194" s="2">
        <v>139.80000000000001</v>
      </c>
      <c r="AJ194" s="1">
        <f>(All_India_Index_Upto_April23_CPI_data[[#This Row],[General index]]-AI191)/AI191</f>
        <v>5.0323508267434728E-3</v>
      </c>
    </row>
    <row r="195" spans="1:36" x14ac:dyDescent="0.25">
      <c r="A195" t="s">
        <v>32</v>
      </c>
      <c r="B195">
        <v>2018</v>
      </c>
      <c r="C195" t="s">
        <v>37</v>
      </c>
      <c r="D195" s="2">
        <v>135</v>
      </c>
      <c r="E195" s="2">
        <v>148.19999999999999</v>
      </c>
      <c r="F195" s="2">
        <v>130.5</v>
      </c>
      <c r="G195" s="2">
        <v>140.69999999999999</v>
      </c>
      <c r="H195" s="2">
        <v>116.4</v>
      </c>
      <c r="I195" s="2">
        <v>151.30000000000001</v>
      </c>
      <c r="J195" s="2">
        <v>131.4</v>
      </c>
      <c r="K195" s="2">
        <v>112.8</v>
      </c>
      <c r="L195" s="2">
        <v>105.3</v>
      </c>
      <c r="M195" s="2">
        <v>139.6</v>
      </c>
      <c r="N195" s="2">
        <v>126.6</v>
      </c>
      <c r="O195" s="2">
        <v>148.69999999999999</v>
      </c>
      <c r="P195" s="2">
        <v>136.4</v>
      </c>
      <c r="Q195" s="2">
        <v>160.30000000000001</v>
      </c>
      <c r="R195" s="2">
        <v>138.6</v>
      </c>
      <c r="S195" s="2">
        <v>127.9</v>
      </c>
      <c r="T195" s="2">
        <v>137</v>
      </c>
      <c r="U195" s="2">
        <v>143.19999999999999</v>
      </c>
      <c r="V195" s="2">
        <v>124.7</v>
      </c>
      <c r="W195" s="2">
        <v>132.5</v>
      </c>
      <c r="X195" s="2">
        <v>132</v>
      </c>
      <c r="Y195" s="2">
        <v>119.8</v>
      </c>
      <c r="Z195" s="2">
        <v>128</v>
      </c>
      <c r="AA195" s="2">
        <v>140.4</v>
      </c>
      <c r="AB195" s="2">
        <v>128.1</v>
      </c>
      <c r="AC195" s="2">
        <v>128.9</v>
      </c>
      <c r="AD195" s="2">
        <f>AVERAGE(All_India_Index_Upto_April23_CPI_data[[#This Row],[Cereals and products]:[Food and beverages]])</f>
        <v>132.53076923076921</v>
      </c>
      <c r="AE195" s="2">
        <f>AVERAGE(All_India_Index_Upto_April23_CPI_data[[#This Row],[Recreation and amusement]],All_India_Index_Upto_April23_CPI_data[[#This Row],[Pan, tobacco and intoxicants]])</f>
        <v>144.15</v>
      </c>
      <c r="AF195" s="2">
        <f>AVERAGE(All_India_Index_Upto_April23_CPI_data[[#This Row],[Household goods and services]],All_India_Index_Upto_April23_CPI_data[[#This Row],[Housing]])</f>
        <v>137.85</v>
      </c>
      <c r="AG195" s="2">
        <f>AVERAGE(All_India_Index_Upto_April23_CPI_data[[#This Row],[Personal care and effects]],All_India_Index_Upto_April23_CPI_data[[#This Row],[Health]])</f>
        <v>130.05000000000001</v>
      </c>
      <c r="AH195" s="2">
        <f>AVERAGE(All_India_Index_Upto_April23_CPI_data[[#This Row],[Clothing]:[Clothing and footwear]])</f>
        <v>134.5</v>
      </c>
      <c r="AI195" s="2">
        <v>135.4</v>
      </c>
      <c r="AJ195" s="1">
        <f>(All_India_Index_Upto_April23_CPI_data[[#This Row],[General index]]-AI192)/AI192</f>
        <v>4.4510385756676134E-3</v>
      </c>
    </row>
    <row r="196" spans="1:36" x14ac:dyDescent="0.25">
      <c r="A196" t="s">
        <v>33</v>
      </c>
      <c r="B196">
        <v>2018</v>
      </c>
      <c r="C196" t="s">
        <v>37</v>
      </c>
      <c r="D196" s="2">
        <v>136.6</v>
      </c>
      <c r="E196" s="2">
        <v>146.6</v>
      </c>
      <c r="F196" s="2">
        <v>133.6</v>
      </c>
      <c r="G196" s="2">
        <v>142.1</v>
      </c>
      <c r="H196" s="2">
        <v>121</v>
      </c>
      <c r="I196" s="2">
        <v>154.6</v>
      </c>
      <c r="J196" s="2">
        <v>135.6</v>
      </c>
      <c r="K196" s="2">
        <v>122.3</v>
      </c>
      <c r="L196" s="2">
        <v>109.6</v>
      </c>
      <c r="M196" s="2">
        <v>138.1</v>
      </c>
      <c r="N196" s="2">
        <v>129.9</v>
      </c>
      <c r="O196" s="2">
        <v>151.69999999999999</v>
      </c>
      <c r="P196" s="2">
        <v>138.1</v>
      </c>
      <c r="Q196" s="2">
        <v>157.9</v>
      </c>
      <c r="R196" s="2">
        <v>146</v>
      </c>
      <c r="S196" s="2">
        <v>137.4</v>
      </c>
      <c r="T196" s="2">
        <v>144.69999999999999</v>
      </c>
      <c r="U196" s="2">
        <v>143.19999999999999</v>
      </c>
      <c r="V196" s="2">
        <v>136.9</v>
      </c>
      <c r="W196" s="2">
        <v>137.4</v>
      </c>
      <c r="X196" s="2">
        <v>136</v>
      </c>
      <c r="Y196" s="2">
        <v>122.9</v>
      </c>
      <c r="Z196" s="2">
        <v>131.80000000000001</v>
      </c>
      <c r="AA196" s="2">
        <v>142.1</v>
      </c>
      <c r="AB196" s="2">
        <v>129.9</v>
      </c>
      <c r="AC196" s="2">
        <v>132.1</v>
      </c>
      <c r="AD196" s="2">
        <f>AVERAGE(All_India_Index_Upto_April23_CPI_data[[#This Row],[Cereals and products]:[Food and beverages]])</f>
        <v>135.36923076923077</v>
      </c>
      <c r="AE196" s="2">
        <f>AVERAGE(All_India_Index_Upto_April23_CPI_data[[#This Row],[Recreation and amusement]],All_India_Index_Upto_April23_CPI_data[[#This Row],[Pan, tobacco and intoxicants]])</f>
        <v>144.85000000000002</v>
      </c>
      <c r="AF196" s="2">
        <f>AVERAGE(All_India_Index_Upto_April23_CPI_data[[#This Row],[Household goods and services]],All_India_Index_Upto_April23_CPI_data[[#This Row],[Housing]])</f>
        <v>140.30000000000001</v>
      </c>
      <c r="AG196" s="2">
        <f>AVERAGE(All_India_Index_Upto_April23_CPI_data[[#This Row],[Personal care and effects]],All_India_Index_Upto_April23_CPI_data[[#This Row],[Health]])</f>
        <v>132.94999999999999</v>
      </c>
      <c r="AH196" s="2">
        <f>AVERAGE(All_India_Index_Upto_April23_CPI_data[[#This Row],[Clothing]:[Clothing and footwear]])</f>
        <v>142.69999999999999</v>
      </c>
      <c r="AI196" s="2">
        <v>137.80000000000001</v>
      </c>
      <c r="AJ196" s="1">
        <f>(All_India_Index_Upto_April23_CPI_data[[#This Row],[General index]]-AI193)/AI193</f>
        <v>5.105762217359716E-3</v>
      </c>
    </row>
    <row r="197" spans="1:36" x14ac:dyDescent="0.25">
      <c r="A197" t="s">
        <v>30</v>
      </c>
      <c r="B197">
        <v>2018</v>
      </c>
      <c r="C197" t="s">
        <v>38</v>
      </c>
      <c r="D197" s="2">
        <v>137.6</v>
      </c>
      <c r="E197" s="2">
        <v>148.1</v>
      </c>
      <c r="F197" s="2">
        <v>136.69999999999999</v>
      </c>
      <c r="G197" s="2">
        <v>143.19999999999999</v>
      </c>
      <c r="H197" s="2">
        <v>124</v>
      </c>
      <c r="I197" s="2">
        <v>154.1</v>
      </c>
      <c r="J197" s="2">
        <v>143.5</v>
      </c>
      <c r="K197" s="2">
        <v>126</v>
      </c>
      <c r="L197" s="2">
        <v>112.4</v>
      </c>
      <c r="M197" s="2">
        <v>137.6</v>
      </c>
      <c r="N197" s="2">
        <v>132.80000000000001</v>
      </c>
      <c r="O197" s="2">
        <v>154.30000000000001</v>
      </c>
      <c r="P197" s="2">
        <v>140</v>
      </c>
      <c r="Q197" s="2">
        <v>157.30000000000001</v>
      </c>
      <c r="R197" s="2">
        <v>151.30000000000001</v>
      </c>
      <c r="S197" s="2">
        <v>144.69999999999999</v>
      </c>
      <c r="T197" s="2">
        <v>150.30000000000001</v>
      </c>
      <c r="U197" s="2">
        <v>0</v>
      </c>
      <c r="V197" s="2">
        <v>145.1</v>
      </c>
      <c r="W197" s="2">
        <v>142.19999999999999</v>
      </c>
      <c r="X197" s="2">
        <v>138.4</v>
      </c>
      <c r="Y197" s="2">
        <v>127.4</v>
      </c>
      <c r="Z197" s="2">
        <v>137.80000000000001</v>
      </c>
      <c r="AA197" s="2">
        <v>145.1</v>
      </c>
      <c r="AB197" s="2">
        <v>131.4</v>
      </c>
      <c r="AC197" s="2">
        <v>135.6</v>
      </c>
      <c r="AD197" s="2">
        <f>AVERAGE(All_India_Index_Upto_April23_CPI_data[[#This Row],[Cereals and products]:[Food and beverages]])</f>
        <v>137.71538461538461</v>
      </c>
      <c r="AE197" s="2">
        <f>AVERAGE(All_India_Index_Upto_April23_CPI_data[[#This Row],[Recreation and amusement]],All_India_Index_Upto_April23_CPI_data[[#This Row],[Pan, tobacco and intoxicants]])</f>
        <v>147.55000000000001</v>
      </c>
      <c r="AF197" s="2">
        <f>AVERAGE(All_India_Index_Upto_April23_CPI_data[[#This Row],[Household goods and services]],All_India_Index_Upto_April23_CPI_data[[#This Row],[Housing]])</f>
        <v>71.099999999999994</v>
      </c>
      <c r="AG197" s="2">
        <f>AVERAGE(All_India_Index_Upto_April23_CPI_data[[#This Row],[Personal care and effects]],All_India_Index_Upto_April23_CPI_data[[#This Row],[Health]])</f>
        <v>134.9</v>
      </c>
      <c r="AH197" s="2">
        <f>AVERAGE(All_India_Index_Upto_April23_CPI_data[[#This Row],[Clothing]:[Clothing and footwear]])</f>
        <v>148.76666666666668</v>
      </c>
      <c r="AI197" s="2">
        <v>140.5</v>
      </c>
      <c r="AJ197" s="1">
        <f>(All_India_Index_Upto_April23_CPI_data[[#This Row],[General index]]-AI194)/AI194</f>
        <v>5.0071530758225222E-3</v>
      </c>
    </row>
    <row r="198" spans="1:36" x14ac:dyDescent="0.25">
      <c r="A198" t="s">
        <v>32</v>
      </c>
      <c r="B198">
        <v>2018</v>
      </c>
      <c r="C198" t="s">
        <v>38</v>
      </c>
      <c r="D198" s="2">
        <v>135.30000000000001</v>
      </c>
      <c r="E198" s="2">
        <v>149.69999999999999</v>
      </c>
      <c r="F198" s="2">
        <v>133.9</v>
      </c>
      <c r="G198" s="2">
        <v>140.80000000000001</v>
      </c>
      <c r="H198" s="2">
        <v>116.6</v>
      </c>
      <c r="I198" s="2">
        <v>152.19999999999999</v>
      </c>
      <c r="J198" s="2">
        <v>144</v>
      </c>
      <c r="K198" s="2">
        <v>112.3</v>
      </c>
      <c r="L198" s="2">
        <v>108.4</v>
      </c>
      <c r="M198" s="2">
        <v>140</v>
      </c>
      <c r="N198" s="2">
        <v>126.7</v>
      </c>
      <c r="O198" s="2">
        <v>149</v>
      </c>
      <c r="P198" s="2">
        <v>138.4</v>
      </c>
      <c r="Q198" s="2">
        <v>161</v>
      </c>
      <c r="R198" s="2">
        <v>138.9</v>
      </c>
      <c r="S198" s="2">
        <v>128.69999999999999</v>
      </c>
      <c r="T198" s="2">
        <v>137.4</v>
      </c>
      <c r="U198" s="2">
        <v>142.5</v>
      </c>
      <c r="V198" s="2">
        <v>126.5</v>
      </c>
      <c r="W198" s="2">
        <v>133.1</v>
      </c>
      <c r="X198" s="2">
        <v>132.6</v>
      </c>
      <c r="Y198" s="2">
        <v>120.4</v>
      </c>
      <c r="Z198" s="2">
        <v>128.5</v>
      </c>
      <c r="AA198" s="2">
        <v>141.19999999999999</v>
      </c>
      <c r="AB198" s="2">
        <v>128.19999999999999</v>
      </c>
      <c r="AC198" s="2">
        <v>129.5</v>
      </c>
      <c r="AD198" s="2">
        <f>AVERAGE(All_India_Index_Upto_April23_CPI_data[[#This Row],[Cereals and products]:[Food and beverages]])</f>
        <v>134.40769230769232</v>
      </c>
      <c r="AE198" s="2">
        <f>AVERAGE(All_India_Index_Upto_April23_CPI_data[[#This Row],[Recreation and amusement]],All_India_Index_Upto_April23_CPI_data[[#This Row],[Pan, tobacco and intoxicants]])</f>
        <v>144.75</v>
      </c>
      <c r="AF198" s="2">
        <f>AVERAGE(All_India_Index_Upto_April23_CPI_data[[#This Row],[Household goods and services]],All_India_Index_Upto_April23_CPI_data[[#This Row],[Housing]])</f>
        <v>137.80000000000001</v>
      </c>
      <c r="AG198" s="2">
        <f>AVERAGE(All_India_Index_Upto_April23_CPI_data[[#This Row],[Personal care and effects]],All_India_Index_Upto_April23_CPI_data[[#This Row],[Health]])</f>
        <v>130.39999999999998</v>
      </c>
      <c r="AH198" s="2">
        <f>AVERAGE(All_India_Index_Upto_April23_CPI_data[[#This Row],[Clothing]:[Clothing and footwear]])</f>
        <v>135</v>
      </c>
      <c r="AI198" s="2">
        <v>136.19999999999999</v>
      </c>
      <c r="AJ198" s="1">
        <f>(All_India_Index_Upto_April23_CPI_data[[#This Row],[General index]]-AI195)/AI195</f>
        <v>5.9084194977842164E-3</v>
      </c>
    </row>
    <row r="199" spans="1:36" x14ac:dyDescent="0.25">
      <c r="A199" t="s">
        <v>33</v>
      </c>
      <c r="B199">
        <v>2018</v>
      </c>
      <c r="C199" t="s">
        <v>38</v>
      </c>
      <c r="D199" s="2">
        <v>136.9</v>
      </c>
      <c r="E199" s="2">
        <v>148.69999999999999</v>
      </c>
      <c r="F199" s="2">
        <v>135.6</v>
      </c>
      <c r="G199" s="2">
        <v>142.30000000000001</v>
      </c>
      <c r="H199" s="2">
        <v>121.3</v>
      </c>
      <c r="I199" s="2">
        <v>153.19999999999999</v>
      </c>
      <c r="J199" s="2">
        <v>143.69999999999999</v>
      </c>
      <c r="K199" s="2">
        <v>121.4</v>
      </c>
      <c r="L199" s="2">
        <v>111.1</v>
      </c>
      <c r="M199" s="2">
        <v>138.4</v>
      </c>
      <c r="N199" s="2">
        <v>130.30000000000001</v>
      </c>
      <c r="O199" s="2">
        <v>151.80000000000001</v>
      </c>
      <c r="P199" s="2">
        <v>139.4</v>
      </c>
      <c r="Q199" s="2">
        <v>158.30000000000001</v>
      </c>
      <c r="R199" s="2">
        <v>146.4</v>
      </c>
      <c r="S199" s="2">
        <v>138.1</v>
      </c>
      <c r="T199" s="2">
        <v>145.19999999999999</v>
      </c>
      <c r="U199" s="2">
        <v>142.5</v>
      </c>
      <c r="V199" s="2">
        <v>138.1</v>
      </c>
      <c r="W199" s="2">
        <v>137.9</v>
      </c>
      <c r="X199" s="2">
        <v>136.19999999999999</v>
      </c>
      <c r="Y199" s="2">
        <v>123.7</v>
      </c>
      <c r="Z199" s="2">
        <v>132.6</v>
      </c>
      <c r="AA199" s="2">
        <v>142.80000000000001</v>
      </c>
      <c r="AB199" s="2">
        <v>130.1</v>
      </c>
      <c r="AC199" s="2">
        <v>132.6</v>
      </c>
      <c r="AD199" s="2">
        <f>AVERAGE(All_India_Index_Upto_April23_CPI_data[[#This Row],[Cereals and products]:[Food and beverages]])</f>
        <v>136.46923076923079</v>
      </c>
      <c r="AE199" s="2">
        <f>AVERAGE(All_India_Index_Upto_April23_CPI_data[[#This Row],[Recreation and amusement]],All_India_Index_Upto_April23_CPI_data[[#This Row],[Pan, tobacco and intoxicants]])</f>
        <v>145.44999999999999</v>
      </c>
      <c r="AF199" s="2">
        <f>AVERAGE(All_India_Index_Upto_April23_CPI_data[[#This Row],[Household goods and services]],All_India_Index_Upto_April23_CPI_data[[#This Row],[Housing]])</f>
        <v>140.19999999999999</v>
      </c>
      <c r="AG199" s="2">
        <f>AVERAGE(All_India_Index_Upto_April23_CPI_data[[#This Row],[Personal care and effects]],All_India_Index_Upto_April23_CPI_data[[#This Row],[Health]])</f>
        <v>133.14999999999998</v>
      </c>
      <c r="AH199" s="2">
        <f>AVERAGE(All_India_Index_Upto_April23_CPI_data[[#This Row],[Clothing]:[Clothing and footwear]])</f>
        <v>143.23333333333332</v>
      </c>
      <c r="AI199" s="2">
        <v>138.5</v>
      </c>
      <c r="AJ199" s="1">
        <f>(All_India_Index_Upto_April23_CPI_data[[#This Row],[General index]]-AI196)/AI196</f>
        <v>5.0798258345427331E-3</v>
      </c>
    </row>
    <row r="200" spans="1:36" x14ac:dyDescent="0.25">
      <c r="A200" t="s">
        <v>30</v>
      </c>
      <c r="B200">
        <v>2018</v>
      </c>
      <c r="C200" t="s">
        <v>39</v>
      </c>
      <c r="D200" s="2">
        <v>138.4</v>
      </c>
      <c r="E200" s="2">
        <v>149.30000000000001</v>
      </c>
      <c r="F200" s="2">
        <v>139.30000000000001</v>
      </c>
      <c r="G200" s="2">
        <v>143.4</v>
      </c>
      <c r="H200" s="2">
        <v>124.1</v>
      </c>
      <c r="I200" s="2">
        <v>153.30000000000001</v>
      </c>
      <c r="J200" s="2">
        <v>154.19999999999999</v>
      </c>
      <c r="K200" s="2">
        <v>126.4</v>
      </c>
      <c r="L200" s="2">
        <v>114.3</v>
      </c>
      <c r="M200" s="2">
        <v>138.19999999999999</v>
      </c>
      <c r="N200" s="2">
        <v>132.80000000000001</v>
      </c>
      <c r="O200" s="2">
        <v>154.80000000000001</v>
      </c>
      <c r="P200" s="2">
        <v>142</v>
      </c>
      <c r="Q200" s="2">
        <v>156.1</v>
      </c>
      <c r="R200" s="2">
        <v>151.5</v>
      </c>
      <c r="S200" s="2">
        <v>145.1</v>
      </c>
      <c r="T200" s="2">
        <v>150.6</v>
      </c>
      <c r="U200" s="2">
        <v>0</v>
      </c>
      <c r="V200" s="2">
        <v>146.80000000000001</v>
      </c>
      <c r="W200" s="2">
        <v>143.1</v>
      </c>
      <c r="X200" s="2">
        <v>139</v>
      </c>
      <c r="Y200" s="2">
        <v>127.5</v>
      </c>
      <c r="Z200" s="2">
        <v>138.4</v>
      </c>
      <c r="AA200" s="2">
        <v>145.80000000000001</v>
      </c>
      <c r="AB200" s="2">
        <v>131.4</v>
      </c>
      <c r="AC200" s="2">
        <v>136</v>
      </c>
      <c r="AD200" s="2">
        <f>AVERAGE(All_India_Index_Upto_April23_CPI_data[[#This Row],[Cereals and products]:[Food and beverages]])</f>
        <v>139.26923076923077</v>
      </c>
      <c r="AE200" s="2">
        <f>AVERAGE(All_India_Index_Upto_April23_CPI_data[[#This Row],[Recreation and amusement]],All_India_Index_Upto_April23_CPI_data[[#This Row],[Pan, tobacco and intoxicants]])</f>
        <v>147.25</v>
      </c>
      <c r="AF200" s="2">
        <f>AVERAGE(All_India_Index_Upto_April23_CPI_data[[#This Row],[Household goods and services]],All_India_Index_Upto_April23_CPI_data[[#This Row],[Housing]])</f>
        <v>71.55</v>
      </c>
      <c r="AG200" s="2">
        <f>AVERAGE(All_India_Index_Upto_April23_CPI_data[[#This Row],[Personal care and effects]],All_India_Index_Upto_April23_CPI_data[[#This Row],[Health]])</f>
        <v>135.19999999999999</v>
      </c>
      <c r="AH200" s="2">
        <f>AVERAGE(All_India_Index_Upto_April23_CPI_data[[#This Row],[Clothing]:[Clothing and footwear]])</f>
        <v>149.06666666666669</v>
      </c>
      <c r="AI200" s="2">
        <v>141.80000000000001</v>
      </c>
      <c r="AJ200" s="1">
        <f>(All_India_Index_Upto_April23_CPI_data[[#This Row],[General index]]-AI197)/AI197</f>
        <v>9.2526690391459884E-3</v>
      </c>
    </row>
    <row r="201" spans="1:36" x14ac:dyDescent="0.25">
      <c r="A201" t="s">
        <v>32</v>
      </c>
      <c r="B201">
        <v>2018</v>
      </c>
      <c r="C201" t="s">
        <v>39</v>
      </c>
      <c r="D201" s="2">
        <v>135.6</v>
      </c>
      <c r="E201" s="2">
        <v>148.6</v>
      </c>
      <c r="F201" s="2">
        <v>139.1</v>
      </c>
      <c r="G201" s="2">
        <v>141</v>
      </c>
      <c r="H201" s="2">
        <v>116.7</v>
      </c>
      <c r="I201" s="2">
        <v>149.69999999999999</v>
      </c>
      <c r="J201" s="2">
        <v>159.19999999999999</v>
      </c>
      <c r="K201" s="2">
        <v>112.6</v>
      </c>
      <c r="L201" s="2">
        <v>111.8</v>
      </c>
      <c r="M201" s="2">
        <v>140.30000000000001</v>
      </c>
      <c r="N201" s="2">
        <v>126.8</v>
      </c>
      <c r="O201" s="2">
        <v>149.4</v>
      </c>
      <c r="P201" s="2">
        <v>140.30000000000001</v>
      </c>
      <c r="Q201" s="2">
        <v>161.4</v>
      </c>
      <c r="R201" s="2">
        <v>139.6</v>
      </c>
      <c r="S201" s="2">
        <v>128.9</v>
      </c>
      <c r="T201" s="2">
        <v>137.9</v>
      </c>
      <c r="U201" s="2">
        <v>143.6</v>
      </c>
      <c r="V201" s="2">
        <v>128.1</v>
      </c>
      <c r="W201" s="2">
        <v>133.6</v>
      </c>
      <c r="X201" s="2">
        <v>133.6</v>
      </c>
      <c r="Y201" s="2">
        <v>120.1</v>
      </c>
      <c r="Z201" s="2">
        <v>129</v>
      </c>
      <c r="AA201" s="2">
        <v>144</v>
      </c>
      <c r="AB201" s="2">
        <v>128.19999999999999</v>
      </c>
      <c r="AC201" s="2">
        <v>130.19999999999999</v>
      </c>
      <c r="AD201" s="2">
        <f>AVERAGE(All_India_Index_Upto_April23_CPI_data[[#This Row],[Cereals and products]:[Food and beverages]])</f>
        <v>136.23846153846154</v>
      </c>
      <c r="AE201" s="2">
        <f>AVERAGE(All_India_Index_Upto_April23_CPI_data[[#This Row],[Recreation and amusement]],All_India_Index_Upto_April23_CPI_data[[#This Row],[Pan, tobacco and intoxicants]])</f>
        <v>145.19999999999999</v>
      </c>
      <c r="AF201" s="2">
        <f>AVERAGE(All_India_Index_Upto_April23_CPI_data[[#This Row],[Household goods and services]],All_India_Index_Upto_April23_CPI_data[[#This Row],[Housing]])</f>
        <v>138.6</v>
      </c>
      <c r="AG201" s="2">
        <f>AVERAGE(All_India_Index_Upto_April23_CPI_data[[#This Row],[Personal care and effects]],All_India_Index_Upto_April23_CPI_data[[#This Row],[Health]])</f>
        <v>130.89999999999998</v>
      </c>
      <c r="AH201" s="2">
        <f>AVERAGE(All_India_Index_Upto_April23_CPI_data[[#This Row],[Clothing]:[Clothing and footwear]])</f>
        <v>135.46666666666667</v>
      </c>
      <c r="AI201" s="2">
        <v>137.5</v>
      </c>
      <c r="AJ201" s="1">
        <f>(All_India_Index_Upto_April23_CPI_data[[#This Row],[General index]]-AI198)/AI198</f>
        <v>9.54478707782681E-3</v>
      </c>
    </row>
    <row r="202" spans="1:36" x14ac:dyDescent="0.25">
      <c r="A202" t="s">
        <v>33</v>
      </c>
      <c r="B202">
        <v>2018</v>
      </c>
      <c r="C202" t="s">
        <v>39</v>
      </c>
      <c r="D202" s="2">
        <v>137.5</v>
      </c>
      <c r="E202" s="2">
        <v>149.1</v>
      </c>
      <c r="F202" s="2">
        <v>139.19999999999999</v>
      </c>
      <c r="G202" s="2">
        <v>142.5</v>
      </c>
      <c r="H202" s="2">
        <v>121.4</v>
      </c>
      <c r="I202" s="2">
        <v>151.6</v>
      </c>
      <c r="J202" s="2">
        <v>155.9</v>
      </c>
      <c r="K202" s="2">
        <v>121.7</v>
      </c>
      <c r="L202" s="2">
        <v>113.5</v>
      </c>
      <c r="M202" s="2">
        <v>138.9</v>
      </c>
      <c r="N202" s="2">
        <v>130.30000000000001</v>
      </c>
      <c r="O202" s="2">
        <v>152.30000000000001</v>
      </c>
      <c r="P202" s="2">
        <v>141.4</v>
      </c>
      <c r="Q202" s="2">
        <v>157.5</v>
      </c>
      <c r="R202" s="2">
        <v>146.80000000000001</v>
      </c>
      <c r="S202" s="2">
        <v>138.4</v>
      </c>
      <c r="T202" s="2">
        <v>145.6</v>
      </c>
      <c r="U202" s="2">
        <v>143.6</v>
      </c>
      <c r="V202" s="2">
        <v>139.69999999999999</v>
      </c>
      <c r="W202" s="2">
        <v>138.6</v>
      </c>
      <c r="X202" s="2">
        <v>137</v>
      </c>
      <c r="Y202" s="2">
        <v>123.6</v>
      </c>
      <c r="Z202" s="2">
        <v>133.1</v>
      </c>
      <c r="AA202" s="2">
        <v>144.69999999999999</v>
      </c>
      <c r="AB202" s="2">
        <v>130.1</v>
      </c>
      <c r="AC202" s="2">
        <v>133.19999999999999</v>
      </c>
      <c r="AD202" s="2">
        <f>AVERAGE(All_India_Index_Upto_April23_CPI_data[[#This Row],[Cereals and products]:[Food and beverages]])</f>
        <v>138.1</v>
      </c>
      <c r="AE202" s="2">
        <f>AVERAGE(All_India_Index_Upto_April23_CPI_data[[#This Row],[Recreation and amusement]],All_India_Index_Upto_April23_CPI_data[[#This Row],[Pan, tobacco and intoxicants]])</f>
        <v>145.30000000000001</v>
      </c>
      <c r="AF202" s="2">
        <f>AVERAGE(All_India_Index_Upto_April23_CPI_data[[#This Row],[Household goods and services]],All_India_Index_Upto_April23_CPI_data[[#This Row],[Housing]])</f>
        <v>141.1</v>
      </c>
      <c r="AG202" s="2">
        <f>AVERAGE(All_India_Index_Upto_April23_CPI_data[[#This Row],[Personal care and effects]],All_India_Index_Upto_April23_CPI_data[[#This Row],[Health]])</f>
        <v>133.55000000000001</v>
      </c>
      <c r="AH202" s="2">
        <f>AVERAGE(All_India_Index_Upto_April23_CPI_data[[#This Row],[Clothing]:[Clothing and footwear]])</f>
        <v>143.60000000000002</v>
      </c>
      <c r="AI202" s="2">
        <v>139.80000000000001</v>
      </c>
      <c r="AJ202" s="1">
        <f>(All_India_Index_Upto_April23_CPI_data[[#This Row],[General index]]-AI199)/AI199</f>
        <v>9.3862815884477348E-3</v>
      </c>
    </row>
    <row r="203" spans="1:36" x14ac:dyDescent="0.25">
      <c r="A203" t="s">
        <v>30</v>
      </c>
      <c r="B203">
        <v>2018</v>
      </c>
      <c r="C203" t="s">
        <v>40</v>
      </c>
      <c r="D203" s="2">
        <v>139.19999999999999</v>
      </c>
      <c r="E203" s="2">
        <v>148.80000000000001</v>
      </c>
      <c r="F203" s="2">
        <v>139.1</v>
      </c>
      <c r="G203" s="2">
        <v>143.5</v>
      </c>
      <c r="H203" s="2">
        <v>125</v>
      </c>
      <c r="I203" s="2">
        <v>154.4</v>
      </c>
      <c r="J203" s="2">
        <v>156.30000000000001</v>
      </c>
      <c r="K203" s="2">
        <v>126.8</v>
      </c>
      <c r="L203" s="2">
        <v>115.4</v>
      </c>
      <c r="M203" s="2">
        <v>138.6</v>
      </c>
      <c r="N203" s="2">
        <v>133.80000000000001</v>
      </c>
      <c r="O203" s="2">
        <v>155.19999999999999</v>
      </c>
      <c r="P203" s="2">
        <v>142.69999999999999</v>
      </c>
      <c r="Q203" s="2">
        <v>156.4</v>
      </c>
      <c r="R203" s="2">
        <v>152.1</v>
      </c>
      <c r="S203" s="2">
        <v>145.80000000000001</v>
      </c>
      <c r="T203" s="2">
        <v>151.30000000000001</v>
      </c>
      <c r="U203" s="2">
        <v>0</v>
      </c>
      <c r="V203" s="2">
        <v>147.69999999999999</v>
      </c>
      <c r="W203" s="2">
        <v>143.80000000000001</v>
      </c>
      <c r="X203" s="2">
        <v>139.4</v>
      </c>
      <c r="Y203" s="2">
        <v>128.30000000000001</v>
      </c>
      <c r="Z203" s="2">
        <v>138.6</v>
      </c>
      <c r="AA203" s="2">
        <v>146.9</v>
      </c>
      <c r="AB203" s="2">
        <v>131.30000000000001</v>
      </c>
      <c r="AC203" s="2">
        <v>136.6</v>
      </c>
      <c r="AD203" s="2">
        <f>AVERAGE(All_India_Index_Upto_April23_CPI_data[[#This Row],[Cereals and products]:[Food and beverages]])</f>
        <v>139.90769230769232</v>
      </c>
      <c r="AE203" s="2">
        <f>AVERAGE(All_India_Index_Upto_April23_CPI_data[[#This Row],[Recreation and amusement]],All_India_Index_Upto_April23_CPI_data[[#This Row],[Pan, tobacco and intoxicants]])</f>
        <v>147.5</v>
      </c>
      <c r="AF203" s="2">
        <f>AVERAGE(All_India_Index_Upto_April23_CPI_data[[#This Row],[Household goods and services]],All_India_Index_Upto_April23_CPI_data[[#This Row],[Housing]])</f>
        <v>71.900000000000006</v>
      </c>
      <c r="AG203" s="2">
        <f>AVERAGE(All_India_Index_Upto_April23_CPI_data[[#This Row],[Personal care and effects]],All_India_Index_Upto_April23_CPI_data[[#This Row],[Health]])</f>
        <v>135.35000000000002</v>
      </c>
      <c r="AH203" s="2">
        <f>AVERAGE(All_India_Index_Upto_April23_CPI_data[[#This Row],[Clothing]:[Clothing and footwear]])</f>
        <v>149.73333333333332</v>
      </c>
      <c r="AI203" s="2">
        <v>142.5</v>
      </c>
      <c r="AJ203" s="1">
        <f>(All_India_Index_Upto_April23_CPI_data[[#This Row],[General index]]-AI200)/AI200</f>
        <v>4.9365303244004836E-3</v>
      </c>
    </row>
    <row r="204" spans="1:36" x14ac:dyDescent="0.25">
      <c r="A204" t="s">
        <v>32</v>
      </c>
      <c r="B204">
        <v>2018</v>
      </c>
      <c r="C204" t="s">
        <v>40</v>
      </c>
      <c r="D204" s="2">
        <v>136.5</v>
      </c>
      <c r="E204" s="2">
        <v>146.4</v>
      </c>
      <c r="F204" s="2">
        <v>136.6</v>
      </c>
      <c r="G204" s="2">
        <v>141.19999999999999</v>
      </c>
      <c r="H204" s="2">
        <v>117.4</v>
      </c>
      <c r="I204" s="2">
        <v>146.30000000000001</v>
      </c>
      <c r="J204" s="2">
        <v>157.30000000000001</v>
      </c>
      <c r="K204" s="2">
        <v>113.6</v>
      </c>
      <c r="L204" s="2">
        <v>113.3</v>
      </c>
      <c r="M204" s="2">
        <v>141.1</v>
      </c>
      <c r="N204" s="2">
        <v>127.4</v>
      </c>
      <c r="O204" s="2">
        <v>150.4</v>
      </c>
      <c r="P204" s="2">
        <v>140.1</v>
      </c>
      <c r="Q204" s="2">
        <v>162.1</v>
      </c>
      <c r="R204" s="2">
        <v>140</v>
      </c>
      <c r="S204" s="2">
        <v>129</v>
      </c>
      <c r="T204" s="2">
        <v>138.30000000000001</v>
      </c>
      <c r="U204" s="2">
        <v>144.6</v>
      </c>
      <c r="V204" s="2">
        <v>129.80000000000001</v>
      </c>
      <c r="W204" s="2">
        <v>134.4</v>
      </c>
      <c r="X204" s="2">
        <v>134.9</v>
      </c>
      <c r="Y204" s="2">
        <v>120.7</v>
      </c>
      <c r="Z204" s="2">
        <v>129.80000000000001</v>
      </c>
      <c r="AA204" s="2">
        <v>145.30000000000001</v>
      </c>
      <c r="AB204" s="2">
        <v>128.30000000000001</v>
      </c>
      <c r="AC204" s="2">
        <v>131</v>
      </c>
      <c r="AD204" s="2">
        <f>AVERAGE(All_India_Index_Upto_April23_CPI_data[[#This Row],[Cereals and products]:[Food and beverages]])</f>
        <v>135.96923076923076</v>
      </c>
      <c r="AE204" s="2">
        <f>AVERAGE(All_India_Index_Upto_April23_CPI_data[[#This Row],[Recreation and amusement]],All_India_Index_Upto_April23_CPI_data[[#This Row],[Pan, tobacco and intoxicants]])</f>
        <v>145.94999999999999</v>
      </c>
      <c r="AF204" s="2">
        <f>AVERAGE(All_India_Index_Upto_April23_CPI_data[[#This Row],[Household goods and services]],All_India_Index_Upto_April23_CPI_data[[#This Row],[Housing]])</f>
        <v>139.5</v>
      </c>
      <c r="AG204" s="2">
        <f>AVERAGE(All_India_Index_Upto_April23_CPI_data[[#This Row],[Personal care and effects]],All_India_Index_Upto_April23_CPI_data[[#This Row],[Health]])</f>
        <v>131.60000000000002</v>
      </c>
      <c r="AH204" s="2">
        <f>AVERAGE(All_India_Index_Upto_April23_CPI_data[[#This Row],[Clothing]:[Clothing and footwear]])</f>
        <v>135.76666666666668</v>
      </c>
      <c r="AI204" s="2">
        <v>138</v>
      </c>
      <c r="AJ204" s="1">
        <f>(All_India_Index_Upto_April23_CPI_data[[#This Row],[General index]]-AI201)/AI201</f>
        <v>3.6363636363636364E-3</v>
      </c>
    </row>
    <row r="205" spans="1:36" x14ac:dyDescent="0.25">
      <c r="A205" t="s">
        <v>33</v>
      </c>
      <c r="B205">
        <v>2018</v>
      </c>
      <c r="C205" t="s">
        <v>40</v>
      </c>
      <c r="D205" s="2">
        <v>138.30000000000001</v>
      </c>
      <c r="E205" s="2">
        <v>148</v>
      </c>
      <c r="F205" s="2">
        <v>138.1</v>
      </c>
      <c r="G205" s="2">
        <v>142.6</v>
      </c>
      <c r="H205" s="2">
        <v>122.2</v>
      </c>
      <c r="I205" s="2">
        <v>150.6</v>
      </c>
      <c r="J205" s="2">
        <v>156.6</v>
      </c>
      <c r="K205" s="2">
        <v>122.4</v>
      </c>
      <c r="L205" s="2">
        <v>114.7</v>
      </c>
      <c r="M205" s="2">
        <v>139.4</v>
      </c>
      <c r="N205" s="2">
        <v>131.1</v>
      </c>
      <c r="O205" s="2">
        <v>153</v>
      </c>
      <c r="P205" s="2">
        <v>141.69999999999999</v>
      </c>
      <c r="Q205" s="2">
        <v>157.9</v>
      </c>
      <c r="R205" s="2">
        <v>147.30000000000001</v>
      </c>
      <c r="S205" s="2">
        <v>138.80000000000001</v>
      </c>
      <c r="T205" s="2">
        <v>146.1</v>
      </c>
      <c r="U205" s="2">
        <v>144.6</v>
      </c>
      <c r="V205" s="2">
        <v>140.9</v>
      </c>
      <c r="W205" s="2">
        <v>139.4</v>
      </c>
      <c r="X205" s="2">
        <v>137.69999999999999</v>
      </c>
      <c r="Y205" s="2">
        <v>124.3</v>
      </c>
      <c r="Z205" s="2">
        <v>133.6</v>
      </c>
      <c r="AA205" s="2">
        <v>146</v>
      </c>
      <c r="AB205" s="2">
        <v>130.1</v>
      </c>
      <c r="AC205" s="2">
        <v>133.9</v>
      </c>
      <c r="AD205" s="2">
        <f>AVERAGE(All_India_Index_Upto_April23_CPI_data[[#This Row],[Cereals and products]:[Food and beverages]])</f>
        <v>138.36153846153849</v>
      </c>
      <c r="AE205" s="2">
        <f>AVERAGE(All_India_Index_Upto_April23_CPI_data[[#This Row],[Recreation and amusement]],All_India_Index_Upto_April23_CPI_data[[#This Row],[Pan, tobacco and intoxicants]])</f>
        <v>145.75</v>
      </c>
      <c r="AF205" s="2">
        <f>AVERAGE(All_India_Index_Upto_April23_CPI_data[[#This Row],[Household goods and services]],All_India_Index_Upto_April23_CPI_data[[#This Row],[Housing]])</f>
        <v>142</v>
      </c>
      <c r="AG205" s="2">
        <f>AVERAGE(All_India_Index_Upto_April23_CPI_data[[#This Row],[Personal care and effects]],All_India_Index_Upto_April23_CPI_data[[#This Row],[Health]])</f>
        <v>133.89999999999998</v>
      </c>
      <c r="AH205" s="2">
        <f>AVERAGE(All_India_Index_Upto_April23_CPI_data[[#This Row],[Clothing]:[Clothing and footwear]])</f>
        <v>144.06666666666669</v>
      </c>
      <c r="AI205" s="2">
        <v>140.4</v>
      </c>
      <c r="AJ205" s="1">
        <f>(All_India_Index_Upto_April23_CPI_data[[#This Row],[General index]]-AI202)/AI202</f>
        <v>4.291845493562191E-3</v>
      </c>
    </row>
    <row r="206" spans="1:36" x14ac:dyDescent="0.25">
      <c r="A206" t="s">
        <v>30</v>
      </c>
      <c r="B206">
        <v>2018</v>
      </c>
      <c r="C206" t="s">
        <v>41</v>
      </c>
      <c r="D206" s="2">
        <v>139.4</v>
      </c>
      <c r="E206" s="2">
        <v>147.19999999999999</v>
      </c>
      <c r="F206" s="2">
        <v>136.6</v>
      </c>
      <c r="G206" s="2">
        <v>143.69999999999999</v>
      </c>
      <c r="H206" s="2">
        <v>124.6</v>
      </c>
      <c r="I206" s="2">
        <v>150.1</v>
      </c>
      <c r="J206" s="2">
        <v>149.4</v>
      </c>
      <c r="K206" s="2">
        <v>125.4</v>
      </c>
      <c r="L206" s="2">
        <v>114.4</v>
      </c>
      <c r="M206" s="2">
        <v>138.69999999999999</v>
      </c>
      <c r="N206" s="2">
        <v>133.1</v>
      </c>
      <c r="O206" s="2">
        <v>155.9</v>
      </c>
      <c r="P206" s="2">
        <v>141.30000000000001</v>
      </c>
      <c r="Q206" s="2">
        <v>157.69999999999999</v>
      </c>
      <c r="R206" s="2">
        <v>152.1</v>
      </c>
      <c r="S206" s="2">
        <v>146.1</v>
      </c>
      <c r="T206" s="2">
        <v>151.30000000000001</v>
      </c>
      <c r="U206" s="2">
        <v>0</v>
      </c>
      <c r="V206" s="2">
        <v>149</v>
      </c>
      <c r="W206" s="2">
        <v>144</v>
      </c>
      <c r="X206" s="2">
        <v>140</v>
      </c>
      <c r="Y206" s="2">
        <v>129.9</v>
      </c>
      <c r="Z206" s="2">
        <v>140</v>
      </c>
      <c r="AA206" s="2">
        <v>147.6</v>
      </c>
      <c r="AB206" s="2">
        <v>132</v>
      </c>
      <c r="AC206" s="2">
        <v>137.4</v>
      </c>
      <c r="AD206" s="2">
        <f>AVERAGE(All_India_Index_Upto_April23_CPI_data[[#This Row],[Cereals and products]:[Food and beverages]])</f>
        <v>138.44615384615386</v>
      </c>
      <c r="AE206" s="2">
        <f>AVERAGE(All_India_Index_Upto_April23_CPI_data[[#This Row],[Recreation and amusement]],All_India_Index_Upto_April23_CPI_data[[#This Row],[Pan, tobacco and intoxicants]])</f>
        <v>148.85</v>
      </c>
      <c r="AF206" s="2">
        <f>AVERAGE(All_India_Index_Upto_April23_CPI_data[[#This Row],[Household goods and services]],All_India_Index_Upto_April23_CPI_data[[#This Row],[Housing]])</f>
        <v>72</v>
      </c>
      <c r="AG206" s="2">
        <f>AVERAGE(All_India_Index_Upto_April23_CPI_data[[#This Row],[Personal care and effects]],All_India_Index_Upto_April23_CPI_data[[#This Row],[Health]])</f>
        <v>136</v>
      </c>
      <c r="AH206" s="2">
        <f>AVERAGE(All_India_Index_Upto_April23_CPI_data[[#This Row],[Clothing]:[Clothing and footwear]])</f>
        <v>149.83333333333334</v>
      </c>
      <c r="AI206" s="2">
        <v>142.1</v>
      </c>
      <c r="AJ206" s="1">
        <f>(All_India_Index_Upto_April23_CPI_data[[#This Row],[General index]]-AI203)/AI203</f>
        <v>-2.8070175438596888E-3</v>
      </c>
    </row>
    <row r="207" spans="1:36" x14ac:dyDescent="0.25">
      <c r="A207" t="s">
        <v>32</v>
      </c>
      <c r="B207">
        <v>2018</v>
      </c>
      <c r="C207" t="s">
        <v>41</v>
      </c>
      <c r="D207" s="2">
        <v>137</v>
      </c>
      <c r="E207" s="2">
        <v>143.1</v>
      </c>
      <c r="F207" s="2">
        <v>132.80000000000001</v>
      </c>
      <c r="G207" s="2">
        <v>141.5</v>
      </c>
      <c r="H207" s="2">
        <v>117.8</v>
      </c>
      <c r="I207" s="2">
        <v>140</v>
      </c>
      <c r="J207" s="2">
        <v>151.30000000000001</v>
      </c>
      <c r="K207" s="2">
        <v>113.5</v>
      </c>
      <c r="L207" s="2">
        <v>112.3</v>
      </c>
      <c r="M207" s="2">
        <v>141.19999999999999</v>
      </c>
      <c r="N207" s="2">
        <v>127.7</v>
      </c>
      <c r="O207" s="2">
        <v>151.30000000000001</v>
      </c>
      <c r="P207" s="2">
        <v>138.9</v>
      </c>
      <c r="Q207" s="2">
        <v>163.30000000000001</v>
      </c>
      <c r="R207" s="2">
        <v>140.80000000000001</v>
      </c>
      <c r="S207" s="2">
        <v>129.30000000000001</v>
      </c>
      <c r="T207" s="2">
        <v>139.1</v>
      </c>
      <c r="U207" s="2">
        <v>145.30000000000001</v>
      </c>
      <c r="V207" s="2">
        <v>131.19999999999999</v>
      </c>
      <c r="W207" s="2">
        <v>134.9</v>
      </c>
      <c r="X207" s="2">
        <v>135.69999999999999</v>
      </c>
      <c r="Y207" s="2">
        <v>122.5</v>
      </c>
      <c r="Z207" s="2">
        <v>130.19999999999999</v>
      </c>
      <c r="AA207" s="2">
        <v>145.19999999999999</v>
      </c>
      <c r="AB207" s="2">
        <v>129.30000000000001</v>
      </c>
      <c r="AC207" s="2">
        <v>131.9</v>
      </c>
      <c r="AD207" s="2">
        <f>AVERAGE(All_India_Index_Upto_April23_CPI_data[[#This Row],[Cereals and products]:[Food and beverages]])</f>
        <v>134.49230769230769</v>
      </c>
      <c r="AE207" s="2">
        <f>AVERAGE(All_India_Index_Upto_April23_CPI_data[[#This Row],[Recreation and amusement]],All_India_Index_Upto_April23_CPI_data[[#This Row],[Pan, tobacco and intoxicants]])</f>
        <v>146.75</v>
      </c>
      <c r="AF207" s="2">
        <f>AVERAGE(All_India_Index_Upto_April23_CPI_data[[#This Row],[Household goods and services]],All_India_Index_Upto_April23_CPI_data[[#This Row],[Housing]])</f>
        <v>140.10000000000002</v>
      </c>
      <c r="AG207" s="2">
        <f>AVERAGE(All_India_Index_Upto_April23_CPI_data[[#This Row],[Personal care and effects]],All_India_Index_Upto_April23_CPI_data[[#This Row],[Health]])</f>
        <v>132.5</v>
      </c>
      <c r="AH207" s="2">
        <f>AVERAGE(All_India_Index_Upto_April23_CPI_data[[#This Row],[Clothing]:[Clothing and footwear]])</f>
        <v>136.4</v>
      </c>
      <c r="AI207" s="2">
        <v>138.1</v>
      </c>
      <c r="AJ207" s="1">
        <f>(All_India_Index_Upto_April23_CPI_data[[#This Row],[General index]]-AI204)/AI204</f>
        <v>7.246376811593791E-4</v>
      </c>
    </row>
    <row r="208" spans="1:36" x14ac:dyDescent="0.25">
      <c r="A208" t="s">
        <v>33</v>
      </c>
      <c r="B208">
        <v>2018</v>
      </c>
      <c r="C208" t="s">
        <v>41</v>
      </c>
      <c r="D208" s="2">
        <v>138.6</v>
      </c>
      <c r="E208" s="2">
        <v>145.80000000000001</v>
      </c>
      <c r="F208" s="2">
        <v>135.1</v>
      </c>
      <c r="G208" s="2">
        <v>142.9</v>
      </c>
      <c r="H208" s="2">
        <v>122.1</v>
      </c>
      <c r="I208" s="2">
        <v>145.4</v>
      </c>
      <c r="J208" s="2">
        <v>150</v>
      </c>
      <c r="K208" s="2">
        <v>121.4</v>
      </c>
      <c r="L208" s="2">
        <v>113.7</v>
      </c>
      <c r="M208" s="2">
        <v>139.5</v>
      </c>
      <c r="N208" s="2">
        <v>130.80000000000001</v>
      </c>
      <c r="O208" s="2">
        <v>153.80000000000001</v>
      </c>
      <c r="P208" s="2">
        <v>140.4</v>
      </c>
      <c r="Q208" s="2">
        <v>159.19999999999999</v>
      </c>
      <c r="R208" s="2">
        <v>147.69999999999999</v>
      </c>
      <c r="S208" s="2">
        <v>139.1</v>
      </c>
      <c r="T208" s="2">
        <v>146.5</v>
      </c>
      <c r="U208" s="2">
        <v>145.30000000000001</v>
      </c>
      <c r="V208" s="2">
        <v>142.30000000000001</v>
      </c>
      <c r="W208" s="2">
        <v>139.69999999999999</v>
      </c>
      <c r="X208" s="2">
        <v>138.4</v>
      </c>
      <c r="Y208" s="2">
        <v>126</v>
      </c>
      <c r="Z208" s="2">
        <v>134.5</v>
      </c>
      <c r="AA208" s="2">
        <v>146.19999999999999</v>
      </c>
      <c r="AB208" s="2">
        <v>130.9</v>
      </c>
      <c r="AC208" s="2">
        <v>134.69999999999999</v>
      </c>
      <c r="AD208" s="2">
        <f>AVERAGE(All_India_Index_Upto_April23_CPI_data[[#This Row],[Cereals and products]:[Food and beverages]])</f>
        <v>136.88461538461539</v>
      </c>
      <c r="AE208" s="2">
        <f>AVERAGE(All_India_Index_Upto_April23_CPI_data[[#This Row],[Recreation and amusement]],All_India_Index_Upto_April23_CPI_data[[#This Row],[Pan, tobacco and intoxicants]])</f>
        <v>146.85</v>
      </c>
      <c r="AF208" s="2">
        <f>AVERAGE(All_India_Index_Upto_April23_CPI_data[[#This Row],[Household goods and services]],All_India_Index_Upto_April23_CPI_data[[#This Row],[Housing]])</f>
        <v>142.5</v>
      </c>
      <c r="AG208" s="2">
        <f>AVERAGE(All_India_Index_Upto_April23_CPI_data[[#This Row],[Personal care and effects]],All_India_Index_Upto_April23_CPI_data[[#This Row],[Health]])</f>
        <v>134.65</v>
      </c>
      <c r="AH208" s="2">
        <f>AVERAGE(All_India_Index_Upto_April23_CPI_data[[#This Row],[Clothing]:[Clothing and footwear]])</f>
        <v>144.43333333333331</v>
      </c>
      <c r="AI208" s="2">
        <v>140.19999999999999</v>
      </c>
      <c r="AJ208" s="1">
        <f>(All_India_Index_Upto_April23_CPI_data[[#This Row],[General index]]-AI205)/AI205</f>
        <v>-1.424501424501546E-3</v>
      </c>
    </row>
    <row r="209" spans="1:36" x14ac:dyDescent="0.25">
      <c r="A209" t="s">
        <v>30</v>
      </c>
      <c r="B209">
        <v>2018</v>
      </c>
      <c r="C209" t="s">
        <v>42</v>
      </c>
      <c r="D209" s="2">
        <v>139.30000000000001</v>
      </c>
      <c r="E209" s="2">
        <v>147.6</v>
      </c>
      <c r="F209" s="2">
        <v>134.6</v>
      </c>
      <c r="G209" s="2">
        <v>141.9</v>
      </c>
      <c r="H209" s="2">
        <v>123.5</v>
      </c>
      <c r="I209" s="2">
        <v>144.5</v>
      </c>
      <c r="J209" s="2">
        <v>147.6</v>
      </c>
      <c r="K209" s="2">
        <v>121.4</v>
      </c>
      <c r="L209" s="2">
        <v>112.3</v>
      </c>
      <c r="M209" s="2">
        <v>139.5</v>
      </c>
      <c r="N209" s="2">
        <v>134.6</v>
      </c>
      <c r="O209" s="2">
        <v>155.19999999999999</v>
      </c>
      <c r="P209" s="2">
        <v>140.19999999999999</v>
      </c>
      <c r="Q209" s="2">
        <v>159.6</v>
      </c>
      <c r="R209" s="2">
        <v>150.69999999999999</v>
      </c>
      <c r="S209" s="2">
        <v>144.5</v>
      </c>
      <c r="T209" s="2">
        <v>149.80000000000001</v>
      </c>
      <c r="U209" s="2">
        <v>0</v>
      </c>
      <c r="V209" s="2">
        <v>149.69999999999999</v>
      </c>
      <c r="W209" s="2">
        <v>147.5</v>
      </c>
      <c r="X209" s="2">
        <v>144.80000000000001</v>
      </c>
      <c r="Y209" s="2">
        <v>130.80000000000001</v>
      </c>
      <c r="Z209" s="2">
        <v>140.1</v>
      </c>
      <c r="AA209" s="2">
        <v>148</v>
      </c>
      <c r="AB209" s="2">
        <v>134.4</v>
      </c>
      <c r="AC209" s="2">
        <v>139.80000000000001</v>
      </c>
      <c r="AD209" s="2">
        <f>AVERAGE(All_India_Index_Upto_April23_CPI_data[[#This Row],[Cereals and products]:[Food and beverages]])</f>
        <v>137.09230769230768</v>
      </c>
      <c r="AE209" s="2">
        <f>AVERAGE(All_India_Index_Upto_April23_CPI_data[[#This Row],[Recreation and amusement]],All_India_Index_Upto_April23_CPI_data[[#This Row],[Pan, tobacco and intoxicants]])</f>
        <v>149.85</v>
      </c>
      <c r="AF209" s="2">
        <f>AVERAGE(All_India_Index_Upto_April23_CPI_data[[#This Row],[Household goods and services]],All_India_Index_Upto_April23_CPI_data[[#This Row],[Housing]])</f>
        <v>73.75</v>
      </c>
      <c r="AG209" s="2">
        <f>AVERAGE(All_India_Index_Upto_April23_CPI_data[[#This Row],[Personal care and effects]],All_India_Index_Upto_April23_CPI_data[[#This Row],[Health]])</f>
        <v>139.60000000000002</v>
      </c>
      <c r="AH209" s="2">
        <f>AVERAGE(All_India_Index_Upto_April23_CPI_data[[#This Row],[Clothing]:[Clothing and footwear]])</f>
        <v>148.33333333333334</v>
      </c>
      <c r="AI209" s="2">
        <v>142.19999999999999</v>
      </c>
      <c r="AJ209" s="1">
        <f>(All_India_Index_Upto_April23_CPI_data[[#This Row],[General index]]-AI206)/AI206</f>
        <v>7.0372976776913662E-4</v>
      </c>
    </row>
    <row r="210" spans="1:36" x14ac:dyDescent="0.25">
      <c r="A210" t="s">
        <v>32</v>
      </c>
      <c r="B210">
        <v>2018</v>
      </c>
      <c r="C210" t="s">
        <v>42</v>
      </c>
      <c r="D210" s="2">
        <v>137.6</v>
      </c>
      <c r="E210" s="2">
        <v>144.9</v>
      </c>
      <c r="F210" s="2">
        <v>133.5</v>
      </c>
      <c r="G210" s="2">
        <v>141.5</v>
      </c>
      <c r="H210" s="2">
        <v>118</v>
      </c>
      <c r="I210" s="2">
        <v>139.5</v>
      </c>
      <c r="J210" s="2">
        <v>153</v>
      </c>
      <c r="K210" s="2">
        <v>113.2</v>
      </c>
      <c r="L210" s="2">
        <v>112.8</v>
      </c>
      <c r="M210" s="2">
        <v>141.1</v>
      </c>
      <c r="N210" s="2">
        <v>127.6</v>
      </c>
      <c r="O210" s="2">
        <v>152</v>
      </c>
      <c r="P210" s="2">
        <v>139.4</v>
      </c>
      <c r="Q210" s="2">
        <v>164</v>
      </c>
      <c r="R210" s="2">
        <v>141.5</v>
      </c>
      <c r="S210" s="2">
        <v>129.80000000000001</v>
      </c>
      <c r="T210" s="2">
        <v>139.69999999999999</v>
      </c>
      <c r="U210" s="2">
        <v>146.30000000000001</v>
      </c>
      <c r="V210" s="2">
        <v>133.4</v>
      </c>
      <c r="W210" s="2">
        <v>135.1</v>
      </c>
      <c r="X210" s="2">
        <v>136.19999999999999</v>
      </c>
      <c r="Y210" s="2">
        <v>123.3</v>
      </c>
      <c r="Z210" s="2">
        <v>130.69999999999999</v>
      </c>
      <c r="AA210" s="2">
        <v>145.5</v>
      </c>
      <c r="AB210" s="2">
        <v>130.4</v>
      </c>
      <c r="AC210" s="2">
        <v>132.5</v>
      </c>
      <c r="AD210" s="2">
        <f>AVERAGE(All_India_Index_Upto_April23_CPI_data[[#This Row],[Cereals and products]:[Food and beverages]])</f>
        <v>134.93076923076922</v>
      </c>
      <c r="AE210" s="2">
        <f>AVERAGE(All_India_Index_Upto_April23_CPI_data[[#This Row],[Recreation and amusement]],All_India_Index_Upto_April23_CPI_data[[#This Row],[Pan, tobacco and intoxicants]])</f>
        <v>147.35</v>
      </c>
      <c r="AF210" s="2">
        <f>AVERAGE(All_India_Index_Upto_April23_CPI_data[[#This Row],[Household goods and services]],All_India_Index_Upto_April23_CPI_data[[#This Row],[Housing]])</f>
        <v>140.69999999999999</v>
      </c>
      <c r="AG210" s="2">
        <f>AVERAGE(All_India_Index_Upto_April23_CPI_data[[#This Row],[Personal care and effects]],All_India_Index_Upto_April23_CPI_data[[#This Row],[Health]])</f>
        <v>133.30000000000001</v>
      </c>
      <c r="AH210" s="2">
        <f>AVERAGE(All_India_Index_Upto_April23_CPI_data[[#This Row],[Clothing]:[Clothing and footwear]])</f>
        <v>137</v>
      </c>
      <c r="AI210" s="2">
        <v>138.9</v>
      </c>
      <c r="AJ210" s="1">
        <f>(All_India_Index_Upto_April23_CPI_data[[#This Row],[General index]]-AI207)/AI207</f>
        <v>5.7929036929761871E-3</v>
      </c>
    </row>
    <row r="211" spans="1:36" x14ac:dyDescent="0.25">
      <c r="A211" t="s">
        <v>33</v>
      </c>
      <c r="B211">
        <v>2018</v>
      </c>
      <c r="C211" t="s">
        <v>42</v>
      </c>
      <c r="D211" s="2">
        <v>137.4</v>
      </c>
      <c r="E211" s="2">
        <v>149.5</v>
      </c>
      <c r="F211" s="2">
        <v>137.30000000000001</v>
      </c>
      <c r="G211" s="2">
        <v>141.9</v>
      </c>
      <c r="H211" s="2">
        <v>121.1</v>
      </c>
      <c r="I211" s="2">
        <v>142.5</v>
      </c>
      <c r="J211" s="2">
        <v>146.69999999999999</v>
      </c>
      <c r="K211" s="2">
        <v>119.1</v>
      </c>
      <c r="L211" s="2">
        <v>111.9</v>
      </c>
      <c r="M211" s="2">
        <v>141</v>
      </c>
      <c r="N211" s="2">
        <v>133.6</v>
      </c>
      <c r="O211" s="2">
        <v>154.5</v>
      </c>
      <c r="P211" s="2">
        <v>139.69999999999999</v>
      </c>
      <c r="Q211" s="2">
        <v>162.6</v>
      </c>
      <c r="R211" s="2">
        <v>148</v>
      </c>
      <c r="S211" s="2">
        <v>139.19999999999999</v>
      </c>
      <c r="T211" s="2">
        <v>146.80000000000001</v>
      </c>
      <c r="U211" s="2">
        <v>146.9</v>
      </c>
      <c r="V211" s="2">
        <v>145.30000000000001</v>
      </c>
      <c r="W211" s="2">
        <v>142.19999999999999</v>
      </c>
      <c r="X211" s="2">
        <v>142.1</v>
      </c>
      <c r="Y211" s="2">
        <v>125.5</v>
      </c>
      <c r="Z211" s="2">
        <v>136.5</v>
      </c>
      <c r="AA211" s="2">
        <v>147.80000000000001</v>
      </c>
      <c r="AB211" s="2">
        <v>132</v>
      </c>
      <c r="AC211" s="2">
        <v>136.30000000000001</v>
      </c>
      <c r="AD211" s="2">
        <f>AVERAGE(All_India_Index_Upto_April23_CPI_data[[#This Row],[Cereals and products]:[Food and beverages]])</f>
        <v>136.63076923076923</v>
      </c>
      <c r="AE211" s="2">
        <f>AVERAGE(All_India_Index_Upto_April23_CPI_data[[#This Row],[Recreation and amusement]],All_India_Index_Upto_April23_CPI_data[[#This Row],[Pan, tobacco and intoxicants]])</f>
        <v>149.55000000000001</v>
      </c>
      <c r="AF211" s="2">
        <f>AVERAGE(All_India_Index_Upto_April23_CPI_data[[#This Row],[Household goods and services]],All_India_Index_Upto_April23_CPI_data[[#This Row],[Housing]])</f>
        <v>144.55000000000001</v>
      </c>
      <c r="AG211" s="2">
        <f>AVERAGE(All_India_Index_Upto_April23_CPI_data[[#This Row],[Personal care and effects]],All_India_Index_Upto_April23_CPI_data[[#This Row],[Health]])</f>
        <v>137.05000000000001</v>
      </c>
      <c r="AH211" s="2">
        <f>AVERAGE(All_India_Index_Upto_April23_CPI_data[[#This Row],[Clothing]:[Clothing and footwear]])</f>
        <v>144.66666666666666</v>
      </c>
      <c r="AI211" s="2">
        <v>140.80000000000001</v>
      </c>
      <c r="AJ211" s="1">
        <f>(All_India_Index_Upto_April23_CPI_data[[#This Row],[General index]]-AI208)/AI208</f>
        <v>4.2796005706135717E-3</v>
      </c>
    </row>
    <row r="212" spans="1:36" x14ac:dyDescent="0.25">
      <c r="A212" t="s">
        <v>30</v>
      </c>
      <c r="B212">
        <v>2018</v>
      </c>
      <c r="C212" t="s">
        <v>43</v>
      </c>
      <c r="D212" s="2">
        <v>137.1</v>
      </c>
      <c r="E212" s="2">
        <v>150.80000000000001</v>
      </c>
      <c r="F212" s="2">
        <v>136.69999999999999</v>
      </c>
      <c r="G212" s="2">
        <v>141.9</v>
      </c>
      <c r="H212" s="2">
        <v>122.8</v>
      </c>
      <c r="I212" s="2">
        <v>143.9</v>
      </c>
      <c r="J212" s="2">
        <v>147.5</v>
      </c>
      <c r="K212" s="2">
        <v>121</v>
      </c>
      <c r="L212" s="2">
        <v>111.6</v>
      </c>
      <c r="M212" s="2">
        <v>140.6</v>
      </c>
      <c r="N212" s="2">
        <v>137.5</v>
      </c>
      <c r="O212" s="2">
        <v>156.1</v>
      </c>
      <c r="P212" s="2">
        <v>140</v>
      </c>
      <c r="Q212" s="2">
        <v>161.9</v>
      </c>
      <c r="R212" s="2">
        <v>151.69999999999999</v>
      </c>
      <c r="S212" s="2">
        <v>145.5</v>
      </c>
      <c r="T212" s="2">
        <v>150.80000000000001</v>
      </c>
      <c r="U212" s="2">
        <v>0</v>
      </c>
      <c r="V212" s="2">
        <v>150.30000000000001</v>
      </c>
      <c r="W212" s="2">
        <v>148</v>
      </c>
      <c r="X212" s="2">
        <v>145.4</v>
      </c>
      <c r="Y212" s="2">
        <v>130.30000000000001</v>
      </c>
      <c r="Z212" s="2">
        <v>143.1</v>
      </c>
      <c r="AA212" s="2">
        <v>150.19999999999999</v>
      </c>
      <c r="AB212" s="2">
        <v>133.1</v>
      </c>
      <c r="AC212" s="2">
        <v>140.1</v>
      </c>
      <c r="AD212" s="2">
        <f>AVERAGE(All_India_Index_Upto_April23_CPI_data[[#This Row],[Cereals and products]:[Food and beverages]])</f>
        <v>137.49999999999997</v>
      </c>
      <c r="AE212" s="2">
        <f>AVERAGE(All_India_Index_Upto_April23_CPI_data[[#This Row],[Recreation and amusement]],All_India_Index_Upto_April23_CPI_data[[#This Row],[Pan, tobacco and intoxicants]])</f>
        <v>152.5</v>
      </c>
      <c r="AF212" s="2">
        <f>AVERAGE(All_India_Index_Upto_April23_CPI_data[[#This Row],[Household goods and services]],All_India_Index_Upto_April23_CPI_data[[#This Row],[Housing]])</f>
        <v>74</v>
      </c>
      <c r="AG212" s="2">
        <f>AVERAGE(All_India_Index_Upto_April23_CPI_data[[#This Row],[Personal care and effects]],All_India_Index_Upto_April23_CPI_data[[#This Row],[Health]])</f>
        <v>139.25</v>
      </c>
      <c r="AH212" s="2">
        <f>AVERAGE(All_India_Index_Upto_April23_CPI_data[[#This Row],[Clothing]:[Clothing and footwear]])</f>
        <v>149.33333333333334</v>
      </c>
      <c r="AI212" s="2">
        <v>142.4</v>
      </c>
      <c r="AJ212" s="1">
        <f>(All_India_Index_Upto_April23_CPI_data[[#This Row],[General index]]-AI209)/AI209</f>
        <v>1.4064697609002606E-3</v>
      </c>
    </row>
    <row r="213" spans="1:36" x14ac:dyDescent="0.25">
      <c r="A213" t="s">
        <v>32</v>
      </c>
      <c r="B213">
        <v>2018</v>
      </c>
      <c r="C213" t="s">
        <v>43</v>
      </c>
      <c r="D213" s="2">
        <v>138.1</v>
      </c>
      <c r="E213" s="2">
        <v>146.30000000000001</v>
      </c>
      <c r="F213" s="2">
        <v>137.80000000000001</v>
      </c>
      <c r="G213" s="2">
        <v>141.6</v>
      </c>
      <c r="H213" s="2">
        <v>118.1</v>
      </c>
      <c r="I213" s="2">
        <v>141.5</v>
      </c>
      <c r="J213" s="2">
        <v>145.19999999999999</v>
      </c>
      <c r="K213" s="2">
        <v>115.3</v>
      </c>
      <c r="L213" s="2">
        <v>112.5</v>
      </c>
      <c r="M213" s="2">
        <v>141.4</v>
      </c>
      <c r="N213" s="2">
        <v>128</v>
      </c>
      <c r="O213" s="2">
        <v>152.6</v>
      </c>
      <c r="P213" s="2">
        <v>139.1</v>
      </c>
      <c r="Q213" s="2">
        <v>164.4</v>
      </c>
      <c r="R213" s="2">
        <v>142.4</v>
      </c>
      <c r="S213" s="2">
        <v>130.19999999999999</v>
      </c>
      <c r="T213" s="2">
        <v>140.5</v>
      </c>
      <c r="U213" s="2">
        <v>146.9</v>
      </c>
      <c r="V213" s="2">
        <v>136.69999999999999</v>
      </c>
      <c r="W213" s="2">
        <v>135.80000000000001</v>
      </c>
      <c r="X213" s="2">
        <v>136.80000000000001</v>
      </c>
      <c r="Y213" s="2">
        <v>121.2</v>
      </c>
      <c r="Z213" s="2">
        <v>131.30000000000001</v>
      </c>
      <c r="AA213" s="2">
        <v>146.1</v>
      </c>
      <c r="AB213" s="2">
        <v>130.5</v>
      </c>
      <c r="AC213" s="2">
        <v>132.19999999999999</v>
      </c>
      <c r="AD213" s="2">
        <f>AVERAGE(All_India_Index_Upto_April23_CPI_data[[#This Row],[Cereals and products]:[Food and beverages]])</f>
        <v>135.19230769230768</v>
      </c>
      <c r="AE213" s="2">
        <f>AVERAGE(All_India_Index_Upto_April23_CPI_data[[#This Row],[Recreation and amusement]],All_India_Index_Upto_April23_CPI_data[[#This Row],[Pan, tobacco and intoxicants]])</f>
        <v>147.85000000000002</v>
      </c>
      <c r="AF213" s="2">
        <f>AVERAGE(All_India_Index_Upto_April23_CPI_data[[#This Row],[Household goods and services]],All_India_Index_Upto_April23_CPI_data[[#This Row],[Housing]])</f>
        <v>141.35000000000002</v>
      </c>
      <c r="AG213" s="2">
        <f>AVERAGE(All_India_Index_Upto_April23_CPI_data[[#This Row],[Personal care and effects]],All_India_Index_Upto_April23_CPI_data[[#This Row],[Health]])</f>
        <v>133.65</v>
      </c>
      <c r="AH213" s="2">
        <f>AVERAGE(All_India_Index_Upto_April23_CPI_data[[#This Row],[Clothing]:[Clothing and footwear]])</f>
        <v>137.70000000000002</v>
      </c>
      <c r="AI213" s="2">
        <v>139</v>
      </c>
      <c r="AJ213" s="1">
        <f>(All_India_Index_Upto_April23_CPI_data[[#This Row],[General index]]-AI210)/AI210</f>
        <v>7.1994240460759049E-4</v>
      </c>
    </row>
    <row r="214" spans="1:36" x14ac:dyDescent="0.25">
      <c r="A214" t="s">
        <v>33</v>
      </c>
      <c r="B214">
        <v>2018</v>
      </c>
      <c r="C214" t="s">
        <v>43</v>
      </c>
      <c r="D214" s="2">
        <v>137.4</v>
      </c>
      <c r="E214" s="2">
        <v>149.19999999999999</v>
      </c>
      <c r="F214" s="2">
        <v>137.1</v>
      </c>
      <c r="G214" s="2">
        <v>141.80000000000001</v>
      </c>
      <c r="H214" s="2">
        <v>121.1</v>
      </c>
      <c r="I214" s="2">
        <v>142.80000000000001</v>
      </c>
      <c r="J214" s="2">
        <v>146.69999999999999</v>
      </c>
      <c r="K214" s="2">
        <v>119.1</v>
      </c>
      <c r="L214" s="2">
        <v>111.9</v>
      </c>
      <c r="M214" s="2">
        <v>140.9</v>
      </c>
      <c r="N214" s="2">
        <v>133.5</v>
      </c>
      <c r="O214" s="2">
        <v>154.5</v>
      </c>
      <c r="P214" s="2">
        <v>139.69999999999999</v>
      </c>
      <c r="Q214" s="2">
        <v>162.6</v>
      </c>
      <c r="R214" s="2">
        <v>148</v>
      </c>
      <c r="S214" s="2">
        <v>139.1</v>
      </c>
      <c r="T214" s="2">
        <v>146.69999999999999</v>
      </c>
      <c r="U214" s="2">
        <v>146.9</v>
      </c>
      <c r="V214" s="2">
        <v>145.1</v>
      </c>
      <c r="W214" s="2">
        <v>142.19999999999999</v>
      </c>
      <c r="X214" s="2">
        <v>142.1</v>
      </c>
      <c r="Y214" s="2">
        <v>125.5</v>
      </c>
      <c r="Z214" s="2">
        <v>136.5</v>
      </c>
      <c r="AA214" s="2">
        <v>147.80000000000001</v>
      </c>
      <c r="AB214" s="2">
        <v>132</v>
      </c>
      <c r="AC214" s="2">
        <v>136.30000000000001</v>
      </c>
      <c r="AD214" s="2">
        <f>AVERAGE(All_India_Index_Upto_April23_CPI_data[[#This Row],[Cereals and products]:[Food and beverages]])</f>
        <v>136.59230769230771</v>
      </c>
      <c r="AE214" s="2">
        <f>AVERAGE(All_India_Index_Upto_April23_CPI_data[[#This Row],[Recreation and amusement]],All_India_Index_Upto_April23_CPI_data[[#This Row],[Pan, tobacco and intoxicants]])</f>
        <v>149.55000000000001</v>
      </c>
      <c r="AF214" s="2">
        <f>AVERAGE(All_India_Index_Upto_April23_CPI_data[[#This Row],[Household goods and services]],All_India_Index_Upto_April23_CPI_data[[#This Row],[Housing]])</f>
        <v>144.55000000000001</v>
      </c>
      <c r="AG214" s="2">
        <f>AVERAGE(All_India_Index_Upto_April23_CPI_data[[#This Row],[Personal care and effects]],All_India_Index_Upto_April23_CPI_data[[#This Row],[Health]])</f>
        <v>137.05000000000001</v>
      </c>
      <c r="AH214" s="2">
        <f>AVERAGE(All_India_Index_Upto_April23_CPI_data[[#This Row],[Clothing]:[Clothing and footwear]])</f>
        <v>144.6</v>
      </c>
      <c r="AI214" s="2">
        <v>140.80000000000001</v>
      </c>
      <c r="AJ214" s="1">
        <f>(All_India_Index_Upto_April23_CPI_data[[#This Row],[General index]]-AI211)/AI211</f>
        <v>0</v>
      </c>
    </row>
    <row r="215" spans="1:36" x14ac:dyDescent="0.25">
      <c r="A215" t="s">
        <v>30</v>
      </c>
      <c r="B215">
        <v>2018</v>
      </c>
      <c r="C215" t="s">
        <v>44</v>
      </c>
      <c r="D215" s="2">
        <v>137.1</v>
      </c>
      <c r="E215" s="2">
        <v>151.9</v>
      </c>
      <c r="F215" s="2">
        <v>137.4</v>
      </c>
      <c r="G215" s="2">
        <v>142.4</v>
      </c>
      <c r="H215" s="2">
        <v>124.2</v>
      </c>
      <c r="I215" s="2">
        <v>140.19999999999999</v>
      </c>
      <c r="J215" s="2">
        <v>136.6</v>
      </c>
      <c r="K215" s="2">
        <v>120.9</v>
      </c>
      <c r="L215" s="2">
        <v>109.9</v>
      </c>
      <c r="M215" s="2">
        <v>140.19999999999999</v>
      </c>
      <c r="N215" s="2">
        <v>137.80000000000001</v>
      </c>
      <c r="O215" s="2">
        <v>156</v>
      </c>
      <c r="P215" s="2">
        <v>138.5</v>
      </c>
      <c r="Q215" s="2">
        <v>162.4</v>
      </c>
      <c r="R215" s="2">
        <v>151.6</v>
      </c>
      <c r="S215" s="2">
        <v>145.9</v>
      </c>
      <c r="T215" s="2">
        <v>150.80000000000001</v>
      </c>
      <c r="U215" s="2">
        <v>0</v>
      </c>
      <c r="V215" s="2">
        <v>149</v>
      </c>
      <c r="W215" s="2">
        <v>149.5</v>
      </c>
      <c r="X215" s="2">
        <v>149.6</v>
      </c>
      <c r="Y215" s="2">
        <v>128.9</v>
      </c>
      <c r="Z215" s="2">
        <v>143.30000000000001</v>
      </c>
      <c r="AA215" s="2">
        <v>155.1</v>
      </c>
      <c r="AB215" s="2">
        <v>133.19999999999999</v>
      </c>
      <c r="AC215" s="2">
        <v>141.6</v>
      </c>
      <c r="AD215" s="2">
        <f>AVERAGE(All_India_Index_Upto_April23_CPI_data[[#This Row],[Cereals and products]:[Food and beverages]])</f>
        <v>136.3923076923077</v>
      </c>
      <c r="AE215" s="2">
        <f>AVERAGE(All_India_Index_Upto_April23_CPI_data[[#This Row],[Recreation and amusement]],All_India_Index_Upto_April23_CPI_data[[#This Row],[Pan, tobacco and intoxicants]])</f>
        <v>152.85000000000002</v>
      </c>
      <c r="AF215" s="2">
        <f>AVERAGE(All_India_Index_Upto_April23_CPI_data[[#This Row],[Household goods and services]],All_India_Index_Upto_April23_CPI_data[[#This Row],[Housing]])</f>
        <v>74.75</v>
      </c>
      <c r="AG215" s="2">
        <f>AVERAGE(All_India_Index_Upto_April23_CPI_data[[#This Row],[Personal care and effects]],All_India_Index_Upto_April23_CPI_data[[#This Row],[Health]])</f>
        <v>141.39999999999998</v>
      </c>
      <c r="AH215" s="2">
        <f>AVERAGE(All_India_Index_Upto_April23_CPI_data[[#This Row],[Clothing]:[Clothing and footwear]])</f>
        <v>149.43333333333334</v>
      </c>
      <c r="AI215" s="2">
        <v>141.9</v>
      </c>
      <c r="AJ215" s="1">
        <f>(All_India_Index_Upto_April23_CPI_data[[#This Row],[General index]]-AI212)/AI212</f>
        <v>-3.5112359550561797E-3</v>
      </c>
    </row>
    <row r="216" spans="1:36" x14ac:dyDescent="0.25">
      <c r="A216" t="s">
        <v>32</v>
      </c>
      <c r="B216">
        <v>2018</v>
      </c>
      <c r="C216" t="s">
        <v>44</v>
      </c>
      <c r="D216" s="2">
        <v>138.5</v>
      </c>
      <c r="E216" s="2">
        <v>147.80000000000001</v>
      </c>
      <c r="F216" s="2">
        <v>141.1</v>
      </c>
      <c r="G216" s="2">
        <v>141.6</v>
      </c>
      <c r="H216" s="2">
        <v>118.1</v>
      </c>
      <c r="I216" s="2">
        <v>138.5</v>
      </c>
      <c r="J216" s="2">
        <v>132.4</v>
      </c>
      <c r="K216" s="2">
        <v>117.5</v>
      </c>
      <c r="L216" s="2">
        <v>111</v>
      </c>
      <c r="M216" s="2">
        <v>141.5</v>
      </c>
      <c r="N216" s="2">
        <v>128.1</v>
      </c>
      <c r="O216" s="2">
        <v>152.9</v>
      </c>
      <c r="P216" s="2">
        <v>137.6</v>
      </c>
      <c r="Q216" s="2">
        <v>164.6</v>
      </c>
      <c r="R216" s="2">
        <v>142.69999999999999</v>
      </c>
      <c r="S216" s="2">
        <v>130.30000000000001</v>
      </c>
      <c r="T216" s="2">
        <v>140.80000000000001</v>
      </c>
      <c r="U216" s="2">
        <v>146.5</v>
      </c>
      <c r="V216" s="2">
        <v>132.4</v>
      </c>
      <c r="W216" s="2">
        <v>136.19999999999999</v>
      </c>
      <c r="X216" s="2">
        <v>137.30000000000001</v>
      </c>
      <c r="Y216" s="2">
        <v>118.8</v>
      </c>
      <c r="Z216" s="2">
        <v>131.69999999999999</v>
      </c>
      <c r="AA216" s="2">
        <v>146.5</v>
      </c>
      <c r="AB216" s="2">
        <v>130.80000000000001</v>
      </c>
      <c r="AC216" s="2">
        <v>131.69999999999999</v>
      </c>
      <c r="AD216" s="2">
        <f>AVERAGE(All_India_Index_Upto_April23_CPI_data[[#This Row],[Cereals and products]:[Food and beverages]])</f>
        <v>134.35384615384615</v>
      </c>
      <c r="AE216" s="2">
        <f>AVERAGE(All_India_Index_Upto_April23_CPI_data[[#This Row],[Recreation and amusement]],All_India_Index_Upto_April23_CPI_data[[#This Row],[Pan, tobacco and intoxicants]])</f>
        <v>148.14999999999998</v>
      </c>
      <c r="AF216" s="2">
        <f>AVERAGE(All_India_Index_Upto_April23_CPI_data[[#This Row],[Household goods and services]],All_India_Index_Upto_April23_CPI_data[[#This Row],[Housing]])</f>
        <v>141.35</v>
      </c>
      <c r="AG216" s="2">
        <f>AVERAGE(All_India_Index_Upto_April23_CPI_data[[#This Row],[Personal care and effects]],All_India_Index_Upto_April23_CPI_data[[#This Row],[Health]])</f>
        <v>134.05000000000001</v>
      </c>
      <c r="AH216" s="2">
        <f>AVERAGE(All_India_Index_Upto_April23_CPI_data[[#This Row],[Clothing]:[Clothing and footwear]])</f>
        <v>137.93333333333334</v>
      </c>
      <c r="AI216" s="2">
        <v>138</v>
      </c>
      <c r="AJ216" s="1">
        <f>(All_India_Index_Upto_April23_CPI_data[[#This Row],[General index]]-AI213)/AI213</f>
        <v>-7.1942446043165471E-3</v>
      </c>
    </row>
    <row r="217" spans="1:36" x14ac:dyDescent="0.25">
      <c r="A217" t="s">
        <v>33</v>
      </c>
      <c r="B217">
        <v>2018</v>
      </c>
      <c r="C217" t="s">
        <v>44</v>
      </c>
      <c r="D217" s="2">
        <v>137.5</v>
      </c>
      <c r="E217" s="2">
        <v>150.5</v>
      </c>
      <c r="F217" s="2">
        <v>138.80000000000001</v>
      </c>
      <c r="G217" s="2">
        <v>142.1</v>
      </c>
      <c r="H217" s="2">
        <v>122</v>
      </c>
      <c r="I217" s="2">
        <v>139.4</v>
      </c>
      <c r="J217" s="2">
        <v>135.19999999999999</v>
      </c>
      <c r="K217" s="2">
        <v>119.8</v>
      </c>
      <c r="L217" s="2">
        <v>110.3</v>
      </c>
      <c r="M217" s="2">
        <v>140.6</v>
      </c>
      <c r="N217" s="2">
        <v>133.80000000000001</v>
      </c>
      <c r="O217" s="2">
        <v>154.6</v>
      </c>
      <c r="P217" s="2">
        <v>138.19999999999999</v>
      </c>
      <c r="Q217" s="2">
        <v>163</v>
      </c>
      <c r="R217" s="2">
        <v>148.1</v>
      </c>
      <c r="S217" s="2">
        <v>139.4</v>
      </c>
      <c r="T217" s="2">
        <v>146.80000000000001</v>
      </c>
      <c r="U217" s="2">
        <v>146.5</v>
      </c>
      <c r="V217" s="2">
        <v>142.69999999999999</v>
      </c>
      <c r="W217" s="2">
        <v>143.19999999999999</v>
      </c>
      <c r="X217" s="2">
        <v>144.9</v>
      </c>
      <c r="Y217" s="2">
        <v>123.6</v>
      </c>
      <c r="Z217" s="2">
        <v>136.80000000000001</v>
      </c>
      <c r="AA217" s="2">
        <v>150.1</v>
      </c>
      <c r="AB217" s="2">
        <v>132.19999999999999</v>
      </c>
      <c r="AC217" s="2">
        <v>136.80000000000001</v>
      </c>
      <c r="AD217" s="2">
        <f>AVERAGE(All_India_Index_Upto_April23_CPI_data[[#This Row],[Cereals and products]:[Food and beverages]])</f>
        <v>135.59999999999997</v>
      </c>
      <c r="AE217" s="2">
        <f>AVERAGE(All_India_Index_Upto_April23_CPI_data[[#This Row],[Recreation and amusement]],All_India_Index_Upto_April23_CPI_data[[#This Row],[Pan, tobacco and intoxicants]])</f>
        <v>149.9</v>
      </c>
      <c r="AF217" s="2">
        <f>AVERAGE(All_India_Index_Upto_April23_CPI_data[[#This Row],[Household goods and services]],All_India_Index_Upto_April23_CPI_data[[#This Row],[Housing]])</f>
        <v>144.85</v>
      </c>
      <c r="AG217" s="2">
        <f>AVERAGE(All_India_Index_Upto_April23_CPI_data[[#This Row],[Personal care and effects]],All_India_Index_Upto_April23_CPI_data[[#This Row],[Health]])</f>
        <v>138.55000000000001</v>
      </c>
      <c r="AH217" s="2">
        <f>AVERAGE(All_India_Index_Upto_April23_CPI_data[[#This Row],[Clothing]:[Clothing and footwear]])</f>
        <v>144.76666666666668</v>
      </c>
      <c r="AI217" s="2">
        <v>140.1</v>
      </c>
      <c r="AJ217" s="1">
        <f>(All_India_Index_Upto_April23_CPI_data[[#This Row],[General index]]-AI214)/AI214</f>
        <v>-4.9715909090910296E-3</v>
      </c>
    </row>
    <row r="218" spans="1:36" x14ac:dyDescent="0.25">
      <c r="A218" t="s">
        <v>30</v>
      </c>
      <c r="B218">
        <v>2019</v>
      </c>
      <c r="C218" t="s">
        <v>31</v>
      </c>
      <c r="D218" s="2">
        <v>136.6</v>
      </c>
      <c r="E218" s="2">
        <v>152.5</v>
      </c>
      <c r="F218" s="2">
        <v>138.19999999999999</v>
      </c>
      <c r="G218" s="2">
        <v>142.4</v>
      </c>
      <c r="H218" s="2">
        <v>123.9</v>
      </c>
      <c r="I218" s="2">
        <v>135.5</v>
      </c>
      <c r="J218" s="2">
        <v>131.69999999999999</v>
      </c>
      <c r="K218" s="2">
        <v>121.3</v>
      </c>
      <c r="L218" s="2">
        <v>108.4</v>
      </c>
      <c r="M218" s="2">
        <v>138.9</v>
      </c>
      <c r="N218" s="2">
        <v>137</v>
      </c>
      <c r="O218" s="2">
        <v>155.80000000000001</v>
      </c>
      <c r="P218" s="2">
        <v>137.4</v>
      </c>
      <c r="Q218" s="2">
        <v>162.69999999999999</v>
      </c>
      <c r="R218" s="2">
        <v>150.6</v>
      </c>
      <c r="S218" s="2">
        <v>145.1</v>
      </c>
      <c r="T218" s="2">
        <v>149.9</v>
      </c>
      <c r="U218" s="2">
        <v>0</v>
      </c>
      <c r="V218" s="2">
        <v>146.19999999999999</v>
      </c>
      <c r="W218" s="2">
        <v>150.1</v>
      </c>
      <c r="X218" s="2">
        <v>149.6</v>
      </c>
      <c r="Y218" s="2">
        <v>128.6</v>
      </c>
      <c r="Z218" s="2">
        <v>142.9</v>
      </c>
      <c r="AA218" s="2">
        <v>155.19999999999999</v>
      </c>
      <c r="AB218" s="2">
        <v>133.5</v>
      </c>
      <c r="AC218" s="2">
        <v>141.69999999999999</v>
      </c>
      <c r="AD218" s="2">
        <f>AVERAGE(All_India_Index_Upto_April23_CPI_data[[#This Row],[Cereals and products]:[Food and beverages]])</f>
        <v>135.35384615384618</v>
      </c>
      <c r="AE218" s="2">
        <f>AVERAGE(All_India_Index_Upto_April23_CPI_data[[#This Row],[Recreation and amusement]],All_India_Index_Upto_April23_CPI_data[[#This Row],[Pan, tobacco and intoxicants]])</f>
        <v>152.80000000000001</v>
      </c>
      <c r="AF218" s="2">
        <f>AVERAGE(All_India_Index_Upto_April23_CPI_data[[#This Row],[Household goods and services]],All_India_Index_Upto_April23_CPI_data[[#This Row],[Housing]])</f>
        <v>75.05</v>
      </c>
      <c r="AG218" s="2">
        <f>AVERAGE(All_India_Index_Upto_April23_CPI_data[[#This Row],[Personal care and effects]],All_India_Index_Upto_April23_CPI_data[[#This Row],[Health]])</f>
        <v>141.55000000000001</v>
      </c>
      <c r="AH218" s="2">
        <f>AVERAGE(All_India_Index_Upto_April23_CPI_data[[#This Row],[Clothing]:[Clothing and footwear]])</f>
        <v>148.53333333333333</v>
      </c>
      <c r="AI218" s="2">
        <v>141</v>
      </c>
      <c r="AJ218" s="1">
        <f>(All_India_Index_Upto_April23_CPI_data[[#This Row],[General index]]-AI215)/AI215</f>
        <v>-6.3424947145877776E-3</v>
      </c>
    </row>
    <row r="219" spans="1:36" x14ac:dyDescent="0.25">
      <c r="A219" t="s">
        <v>32</v>
      </c>
      <c r="B219">
        <v>2019</v>
      </c>
      <c r="C219" t="s">
        <v>31</v>
      </c>
      <c r="D219" s="2">
        <v>138.30000000000001</v>
      </c>
      <c r="E219" s="2">
        <v>149.4</v>
      </c>
      <c r="F219" s="2">
        <v>143.5</v>
      </c>
      <c r="G219" s="2">
        <v>141.69999999999999</v>
      </c>
      <c r="H219" s="2">
        <v>118.1</v>
      </c>
      <c r="I219" s="2">
        <v>135.19999999999999</v>
      </c>
      <c r="J219" s="2">
        <v>130.5</v>
      </c>
      <c r="K219" s="2">
        <v>118.2</v>
      </c>
      <c r="L219" s="2">
        <v>110.4</v>
      </c>
      <c r="M219" s="2">
        <v>140.4</v>
      </c>
      <c r="N219" s="2">
        <v>128.1</v>
      </c>
      <c r="O219" s="2">
        <v>153.19999999999999</v>
      </c>
      <c r="P219" s="2">
        <v>137.30000000000001</v>
      </c>
      <c r="Q219" s="2">
        <v>164.7</v>
      </c>
      <c r="R219" s="2">
        <v>143</v>
      </c>
      <c r="S219" s="2">
        <v>130.4</v>
      </c>
      <c r="T219" s="2">
        <v>141.1</v>
      </c>
      <c r="U219" s="2">
        <v>147.69999999999999</v>
      </c>
      <c r="V219" s="2">
        <v>128.6</v>
      </c>
      <c r="W219" s="2">
        <v>136.30000000000001</v>
      </c>
      <c r="X219" s="2">
        <v>137.80000000000001</v>
      </c>
      <c r="Y219" s="2">
        <v>118.6</v>
      </c>
      <c r="Z219" s="2">
        <v>131.9</v>
      </c>
      <c r="AA219" s="2">
        <v>146.6</v>
      </c>
      <c r="AB219" s="2">
        <v>131.69999999999999</v>
      </c>
      <c r="AC219" s="2">
        <v>131.80000000000001</v>
      </c>
      <c r="AD219" s="2">
        <f>AVERAGE(All_India_Index_Upto_April23_CPI_data[[#This Row],[Cereals and products]:[Food and beverages]])</f>
        <v>134.17692307692309</v>
      </c>
      <c r="AE219" s="2">
        <f>AVERAGE(All_India_Index_Upto_April23_CPI_data[[#This Row],[Recreation and amusement]],All_India_Index_Upto_April23_CPI_data[[#This Row],[Pan, tobacco and intoxicants]])</f>
        <v>148.30000000000001</v>
      </c>
      <c r="AF219" s="2">
        <f>AVERAGE(All_India_Index_Upto_April23_CPI_data[[#This Row],[Household goods and services]],All_India_Index_Upto_April23_CPI_data[[#This Row],[Housing]])</f>
        <v>142</v>
      </c>
      <c r="AG219" s="2">
        <f>AVERAGE(All_India_Index_Upto_April23_CPI_data[[#This Row],[Personal care and effects]],All_India_Index_Upto_April23_CPI_data[[#This Row],[Health]])</f>
        <v>134.75</v>
      </c>
      <c r="AH219" s="2">
        <f>AVERAGE(All_India_Index_Upto_April23_CPI_data[[#This Row],[Clothing]:[Clothing and footwear]])</f>
        <v>138.16666666666666</v>
      </c>
      <c r="AI219" s="2">
        <v>138</v>
      </c>
      <c r="AJ219" s="1">
        <f>(All_India_Index_Upto_April23_CPI_data[[#This Row],[General index]]-AI216)/AI216</f>
        <v>0</v>
      </c>
    </row>
    <row r="220" spans="1:36" x14ac:dyDescent="0.25">
      <c r="A220" t="s">
        <v>33</v>
      </c>
      <c r="B220">
        <v>2019</v>
      </c>
      <c r="C220" t="s">
        <v>31</v>
      </c>
      <c r="D220" s="2">
        <v>137.1</v>
      </c>
      <c r="E220" s="2">
        <v>151.4</v>
      </c>
      <c r="F220" s="2">
        <v>140.19999999999999</v>
      </c>
      <c r="G220" s="2">
        <v>142.1</v>
      </c>
      <c r="H220" s="2">
        <v>121.8</v>
      </c>
      <c r="I220" s="2">
        <v>135.4</v>
      </c>
      <c r="J220" s="2">
        <v>131.30000000000001</v>
      </c>
      <c r="K220" s="2">
        <v>120.3</v>
      </c>
      <c r="L220" s="2">
        <v>109.1</v>
      </c>
      <c r="M220" s="2">
        <v>139.4</v>
      </c>
      <c r="N220" s="2">
        <v>133.30000000000001</v>
      </c>
      <c r="O220" s="2">
        <v>154.6</v>
      </c>
      <c r="P220" s="2">
        <v>137.4</v>
      </c>
      <c r="Q220" s="2">
        <v>163.19999999999999</v>
      </c>
      <c r="R220" s="2">
        <v>147.6</v>
      </c>
      <c r="S220" s="2">
        <v>139</v>
      </c>
      <c r="T220" s="2">
        <v>146.4</v>
      </c>
      <c r="U220" s="2">
        <v>147.69999999999999</v>
      </c>
      <c r="V220" s="2">
        <v>139.5</v>
      </c>
      <c r="W220" s="2">
        <v>143.6</v>
      </c>
      <c r="X220" s="2">
        <v>145.1</v>
      </c>
      <c r="Y220" s="2">
        <v>123.3</v>
      </c>
      <c r="Z220" s="2">
        <v>136.69999999999999</v>
      </c>
      <c r="AA220" s="2">
        <v>150.19999999999999</v>
      </c>
      <c r="AB220" s="2">
        <v>132.80000000000001</v>
      </c>
      <c r="AC220" s="2">
        <v>136.9</v>
      </c>
      <c r="AD220" s="2">
        <f>AVERAGE(All_India_Index_Upto_April23_CPI_data[[#This Row],[Cereals and products]:[Food and beverages]])</f>
        <v>134.87692307692308</v>
      </c>
      <c r="AE220" s="2">
        <f>AVERAGE(All_India_Index_Upto_April23_CPI_data[[#This Row],[Recreation and amusement]],All_India_Index_Upto_April23_CPI_data[[#This Row],[Pan, tobacco and intoxicants]])</f>
        <v>149.94999999999999</v>
      </c>
      <c r="AF220" s="2">
        <f>AVERAGE(All_India_Index_Upto_April23_CPI_data[[#This Row],[Household goods and services]],All_India_Index_Upto_April23_CPI_data[[#This Row],[Housing]])</f>
        <v>145.64999999999998</v>
      </c>
      <c r="AG220" s="2">
        <f>AVERAGE(All_India_Index_Upto_April23_CPI_data[[#This Row],[Personal care and effects]],All_India_Index_Upto_April23_CPI_data[[#This Row],[Health]])</f>
        <v>138.94999999999999</v>
      </c>
      <c r="AH220" s="2">
        <f>AVERAGE(All_India_Index_Upto_April23_CPI_data[[#This Row],[Clothing]:[Clothing and footwear]])</f>
        <v>144.33333333333334</v>
      </c>
      <c r="AI220" s="2">
        <v>139.6</v>
      </c>
      <c r="AJ220" s="1">
        <f>(All_India_Index_Upto_April23_CPI_data[[#This Row],[General index]]-AI217)/AI217</f>
        <v>-3.5688793718772309E-3</v>
      </c>
    </row>
    <row r="221" spans="1:36" x14ac:dyDescent="0.25">
      <c r="A221" t="s">
        <v>30</v>
      </c>
      <c r="B221">
        <v>2019</v>
      </c>
      <c r="C221" t="s">
        <v>34</v>
      </c>
      <c r="D221" s="2">
        <v>136.80000000000001</v>
      </c>
      <c r="E221" s="2">
        <v>153</v>
      </c>
      <c r="F221" s="2">
        <v>139.1</v>
      </c>
      <c r="G221" s="2">
        <v>142.5</v>
      </c>
      <c r="H221" s="2">
        <v>124.1</v>
      </c>
      <c r="I221" s="2">
        <v>135.80000000000001</v>
      </c>
      <c r="J221" s="2">
        <v>128.69999999999999</v>
      </c>
      <c r="K221" s="2">
        <v>121.5</v>
      </c>
      <c r="L221" s="2">
        <v>108.3</v>
      </c>
      <c r="M221" s="2">
        <v>139.19999999999999</v>
      </c>
      <c r="N221" s="2">
        <v>137.4</v>
      </c>
      <c r="O221" s="2">
        <v>156.19999999999999</v>
      </c>
      <c r="P221" s="2">
        <v>137.19999999999999</v>
      </c>
      <c r="Q221" s="2">
        <v>162.80000000000001</v>
      </c>
      <c r="R221" s="2">
        <v>150.5</v>
      </c>
      <c r="S221" s="2">
        <v>146.1</v>
      </c>
      <c r="T221" s="2">
        <v>149.9</v>
      </c>
      <c r="U221" s="2">
        <v>0</v>
      </c>
      <c r="V221" s="2">
        <v>145.30000000000001</v>
      </c>
      <c r="W221" s="2">
        <v>150.1</v>
      </c>
      <c r="X221" s="2">
        <v>149.9</v>
      </c>
      <c r="Y221" s="2">
        <v>129.19999999999999</v>
      </c>
      <c r="Z221" s="2">
        <v>143.4</v>
      </c>
      <c r="AA221" s="2">
        <v>155.5</v>
      </c>
      <c r="AB221" s="2">
        <v>134.9</v>
      </c>
      <c r="AC221" s="2">
        <v>142.19999999999999</v>
      </c>
      <c r="AD221" s="2">
        <f>AVERAGE(All_India_Index_Upto_April23_CPI_data[[#This Row],[Cereals and products]:[Food and beverages]])</f>
        <v>135.3692307692308</v>
      </c>
      <c r="AE221" s="2">
        <f>AVERAGE(All_India_Index_Upto_April23_CPI_data[[#This Row],[Recreation and amusement]],All_India_Index_Upto_April23_CPI_data[[#This Row],[Pan, tobacco and intoxicants]])</f>
        <v>153.10000000000002</v>
      </c>
      <c r="AF221" s="2">
        <f>AVERAGE(All_India_Index_Upto_April23_CPI_data[[#This Row],[Household goods and services]],All_India_Index_Upto_April23_CPI_data[[#This Row],[Housing]])</f>
        <v>75.05</v>
      </c>
      <c r="AG221" s="2">
        <f>AVERAGE(All_India_Index_Upto_April23_CPI_data[[#This Row],[Personal care and effects]],All_India_Index_Upto_April23_CPI_data[[#This Row],[Health]])</f>
        <v>142.4</v>
      </c>
      <c r="AH221" s="2">
        <f>AVERAGE(All_India_Index_Upto_April23_CPI_data[[#This Row],[Clothing]:[Clothing and footwear]])</f>
        <v>148.83333333333334</v>
      </c>
      <c r="AI221" s="2">
        <v>141</v>
      </c>
      <c r="AJ221" s="1">
        <f>(All_India_Index_Upto_April23_CPI_data[[#This Row],[General index]]-AI218)/AI218</f>
        <v>0</v>
      </c>
    </row>
    <row r="222" spans="1:36" x14ac:dyDescent="0.25">
      <c r="A222" t="s">
        <v>32</v>
      </c>
      <c r="B222">
        <v>2019</v>
      </c>
      <c r="C222" t="s">
        <v>34</v>
      </c>
      <c r="D222" s="2">
        <v>139.4</v>
      </c>
      <c r="E222" s="2">
        <v>150.1</v>
      </c>
      <c r="F222" s="2">
        <v>145.30000000000001</v>
      </c>
      <c r="G222" s="2">
        <v>141.69999999999999</v>
      </c>
      <c r="H222" s="2">
        <v>118.4</v>
      </c>
      <c r="I222" s="2">
        <v>137</v>
      </c>
      <c r="J222" s="2">
        <v>131.6</v>
      </c>
      <c r="K222" s="2">
        <v>119.9</v>
      </c>
      <c r="L222" s="2">
        <v>110.4</v>
      </c>
      <c r="M222" s="2">
        <v>140.80000000000001</v>
      </c>
      <c r="N222" s="2">
        <v>128.30000000000001</v>
      </c>
      <c r="O222" s="2">
        <v>153.5</v>
      </c>
      <c r="P222" s="2">
        <v>138</v>
      </c>
      <c r="Q222" s="2">
        <v>164.9</v>
      </c>
      <c r="R222" s="2">
        <v>143.30000000000001</v>
      </c>
      <c r="S222" s="2">
        <v>130.80000000000001</v>
      </c>
      <c r="T222" s="2">
        <v>141.4</v>
      </c>
      <c r="U222" s="2">
        <v>148.5</v>
      </c>
      <c r="V222" s="2">
        <v>127.1</v>
      </c>
      <c r="W222" s="2">
        <v>136.6</v>
      </c>
      <c r="X222" s="2">
        <v>138.5</v>
      </c>
      <c r="Y222" s="2">
        <v>119.2</v>
      </c>
      <c r="Z222" s="2">
        <v>132.19999999999999</v>
      </c>
      <c r="AA222" s="2">
        <v>146.6</v>
      </c>
      <c r="AB222" s="2">
        <v>133</v>
      </c>
      <c r="AC222" s="2">
        <v>132.4</v>
      </c>
      <c r="AD222" s="2">
        <f>AVERAGE(All_India_Index_Upto_April23_CPI_data[[#This Row],[Cereals and products]:[Food and beverages]])</f>
        <v>134.95384615384617</v>
      </c>
      <c r="AE222" s="2">
        <f>AVERAGE(All_India_Index_Upto_April23_CPI_data[[#This Row],[Recreation and amusement]],All_India_Index_Upto_April23_CPI_data[[#This Row],[Pan, tobacco and intoxicants]])</f>
        <v>148.55000000000001</v>
      </c>
      <c r="AF222" s="2">
        <f>AVERAGE(All_India_Index_Upto_April23_CPI_data[[#This Row],[Household goods and services]],All_India_Index_Upto_April23_CPI_data[[#This Row],[Housing]])</f>
        <v>142.55000000000001</v>
      </c>
      <c r="AG222" s="2">
        <f>AVERAGE(All_India_Index_Upto_April23_CPI_data[[#This Row],[Personal care and effects]],All_India_Index_Upto_April23_CPI_data[[#This Row],[Health]])</f>
        <v>135.75</v>
      </c>
      <c r="AH222" s="2">
        <f>AVERAGE(All_India_Index_Upto_April23_CPI_data[[#This Row],[Clothing]:[Clothing and footwear]])</f>
        <v>138.5</v>
      </c>
      <c r="AI222" s="2">
        <v>138.6</v>
      </c>
      <c r="AJ222" s="1">
        <f>(All_India_Index_Upto_April23_CPI_data[[#This Row],[General index]]-AI219)/AI219</f>
        <v>4.3478260869564802E-3</v>
      </c>
    </row>
    <row r="223" spans="1:36" x14ac:dyDescent="0.25">
      <c r="A223" t="s">
        <v>33</v>
      </c>
      <c r="B223">
        <v>2019</v>
      </c>
      <c r="C223" t="s">
        <v>34</v>
      </c>
      <c r="D223" s="2">
        <v>137.6</v>
      </c>
      <c r="E223" s="2">
        <v>152</v>
      </c>
      <c r="F223" s="2">
        <v>141.5</v>
      </c>
      <c r="G223" s="2">
        <v>142.19999999999999</v>
      </c>
      <c r="H223" s="2">
        <v>122</v>
      </c>
      <c r="I223" s="2">
        <v>136.4</v>
      </c>
      <c r="J223" s="2">
        <v>129.69999999999999</v>
      </c>
      <c r="K223" s="2">
        <v>121</v>
      </c>
      <c r="L223" s="2">
        <v>109</v>
      </c>
      <c r="M223" s="2">
        <v>139.69999999999999</v>
      </c>
      <c r="N223" s="2">
        <v>133.6</v>
      </c>
      <c r="O223" s="2">
        <v>154.9</v>
      </c>
      <c r="P223" s="2">
        <v>137.5</v>
      </c>
      <c r="Q223" s="2">
        <v>163.4</v>
      </c>
      <c r="R223" s="2">
        <v>147.69999999999999</v>
      </c>
      <c r="S223" s="2">
        <v>139.69999999999999</v>
      </c>
      <c r="T223" s="2">
        <v>146.5</v>
      </c>
      <c r="U223" s="2">
        <v>148.5</v>
      </c>
      <c r="V223" s="2">
        <v>138.4</v>
      </c>
      <c r="W223" s="2">
        <v>143.69999999999999</v>
      </c>
      <c r="X223" s="2">
        <v>145.6</v>
      </c>
      <c r="Y223" s="2">
        <v>123.9</v>
      </c>
      <c r="Z223" s="2">
        <v>137.1</v>
      </c>
      <c r="AA223" s="2">
        <v>150.30000000000001</v>
      </c>
      <c r="AB223" s="2">
        <v>134.1</v>
      </c>
      <c r="AC223" s="2">
        <v>137.4</v>
      </c>
      <c r="AD223" s="2">
        <f>AVERAGE(All_India_Index_Upto_April23_CPI_data[[#This Row],[Cereals and products]:[Food and beverages]])</f>
        <v>135.16153846153844</v>
      </c>
      <c r="AE223" s="2">
        <f>AVERAGE(All_India_Index_Upto_April23_CPI_data[[#This Row],[Recreation and amusement]],All_India_Index_Upto_April23_CPI_data[[#This Row],[Pan, tobacco and intoxicants]])</f>
        <v>150.25</v>
      </c>
      <c r="AF223" s="2">
        <f>AVERAGE(All_India_Index_Upto_April23_CPI_data[[#This Row],[Household goods and services]],All_India_Index_Upto_April23_CPI_data[[#This Row],[Housing]])</f>
        <v>146.1</v>
      </c>
      <c r="AG223" s="2">
        <f>AVERAGE(All_India_Index_Upto_April23_CPI_data[[#This Row],[Personal care and effects]],All_India_Index_Upto_April23_CPI_data[[#This Row],[Health]])</f>
        <v>139.85</v>
      </c>
      <c r="AH223" s="2">
        <f>AVERAGE(All_India_Index_Upto_April23_CPI_data[[#This Row],[Clothing]:[Clothing and footwear]])</f>
        <v>144.63333333333333</v>
      </c>
      <c r="AI223" s="2">
        <v>139.9</v>
      </c>
      <c r="AJ223" s="1">
        <f>(All_India_Index_Upto_April23_CPI_data[[#This Row],[General index]]-AI220)/AI220</f>
        <v>2.1489971346705687E-3</v>
      </c>
    </row>
    <row r="224" spans="1:36" x14ac:dyDescent="0.25">
      <c r="A224" t="s">
        <v>30</v>
      </c>
      <c r="B224">
        <v>2019</v>
      </c>
      <c r="C224" t="s">
        <v>35</v>
      </c>
      <c r="D224" s="2">
        <v>136.9</v>
      </c>
      <c r="E224" s="2">
        <v>154.1</v>
      </c>
      <c r="F224" s="2">
        <v>138.69999999999999</v>
      </c>
      <c r="G224" s="2">
        <v>142.5</v>
      </c>
      <c r="H224" s="2">
        <v>124.1</v>
      </c>
      <c r="I224" s="2">
        <v>136.1</v>
      </c>
      <c r="J224" s="2">
        <v>128.19999999999999</v>
      </c>
      <c r="K224" s="2">
        <v>122.3</v>
      </c>
      <c r="L224" s="2">
        <v>108.3</v>
      </c>
      <c r="M224" s="2">
        <v>138.9</v>
      </c>
      <c r="N224" s="2">
        <v>137.4</v>
      </c>
      <c r="O224" s="2">
        <v>156.4</v>
      </c>
      <c r="P224" s="2">
        <v>137.30000000000001</v>
      </c>
      <c r="Q224" s="2">
        <v>162.9</v>
      </c>
      <c r="R224" s="2">
        <v>150.80000000000001</v>
      </c>
      <c r="S224" s="2">
        <v>146.1</v>
      </c>
      <c r="T224" s="2">
        <v>150.1</v>
      </c>
      <c r="U224" s="2">
        <v>0</v>
      </c>
      <c r="V224" s="2">
        <v>146.4</v>
      </c>
      <c r="W224" s="2">
        <v>150</v>
      </c>
      <c r="X224" s="2">
        <v>150.4</v>
      </c>
      <c r="Y224" s="2">
        <v>129.9</v>
      </c>
      <c r="Z224" s="2">
        <v>143.80000000000001</v>
      </c>
      <c r="AA224" s="2">
        <v>155.5</v>
      </c>
      <c r="AB224" s="2">
        <v>134</v>
      </c>
      <c r="AC224" s="2">
        <v>142.4</v>
      </c>
      <c r="AD224" s="2">
        <f>AVERAGE(All_India_Index_Upto_April23_CPI_data[[#This Row],[Cereals and products]:[Food and beverages]])</f>
        <v>135.4769230769231</v>
      </c>
      <c r="AE224" s="2">
        <f>AVERAGE(All_India_Index_Upto_April23_CPI_data[[#This Row],[Recreation and amusement]],All_India_Index_Upto_April23_CPI_data[[#This Row],[Pan, tobacco and intoxicants]])</f>
        <v>153.35000000000002</v>
      </c>
      <c r="AF224" s="2">
        <f>AVERAGE(All_India_Index_Upto_April23_CPI_data[[#This Row],[Household goods and services]],All_India_Index_Upto_April23_CPI_data[[#This Row],[Housing]])</f>
        <v>75</v>
      </c>
      <c r="AG224" s="2">
        <f>AVERAGE(All_India_Index_Upto_April23_CPI_data[[#This Row],[Personal care and effects]],All_India_Index_Upto_April23_CPI_data[[#This Row],[Health]])</f>
        <v>142.19999999999999</v>
      </c>
      <c r="AH224" s="2">
        <f>AVERAGE(All_India_Index_Upto_April23_CPI_data[[#This Row],[Clothing]:[Clothing and footwear]])</f>
        <v>149</v>
      </c>
      <c r="AI224" s="2">
        <v>141.19999999999999</v>
      </c>
      <c r="AJ224" s="1">
        <f>(All_India_Index_Upto_April23_CPI_data[[#This Row],[General index]]-AI221)/AI221</f>
        <v>1.4184397163119762E-3</v>
      </c>
    </row>
    <row r="225" spans="1:36" x14ac:dyDescent="0.25">
      <c r="A225" t="s">
        <v>32</v>
      </c>
      <c r="B225">
        <v>2019</v>
      </c>
      <c r="C225" t="s">
        <v>35</v>
      </c>
      <c r="D225" s="2">
        <v>139.69999999999999</v>
      </c>
      <c r="E225" s="2">
        <v>151.1</v>
      </c>
      <c r="F225" s="2">
        <v>142.9</v>
      </c>
      <c r="G225" s="2">
        <v>141.9</v>
      </c>
      <c r="H225" s="2">
        <v>118.4</v>
      </c>
      <c r="I225" s="2">
        <v>139.4</v>
      </c>
      <c r="J225" s="2">
        <v>141.19999999999999</v>
      </c>
      <c r="K225" s="2">
        <v>120.7</v>
      </c>
      <c r="L225" s="2">
        <v>110.4</v>
      </c>
      <c r="M225" s="2">
        <v>140.69999999999999</v>
      </c>
      <c r="N225" s="2">
        <v>128.5</v>
      </c>
      <c r="O225" s="2">
        <v>153.9</v>
      </c>
      <c r="P225" s="2">
        <v>139.6</v>
      </c>
      <c r="Q225" s="2">
        <v>165.3</v>
      </c>
      <c r="R225" s="2">
        <v>143.5</v>
      </c>
      <c r="S225" s="2">
        <v>131.19999999999999</v>
      </c>
      <c r="T225" s="2">
        <v>141.6</v>
      </c>
      <c r="U225" s="2">
        <v>149</v>
      </c>
      <c r="V225" s="2">
        <v>128.80000000000001</v>
      </c>
      <c r="W225" s="2">
        <v>136.80000000000001</v>
      </c>
      <c r="X225" s="2">
        <v>139.19999999999999</v>
      </c>
      <c r="Y225" s="2">
        <v>119.9</v>
      </c>
      <c r="Z225" s="2">
        <v>133</v>
      </c>
      <c r="AA225" s="2">
        <v>146.69999999999999</v>
      </c>
      <c r="AB225" s="2">
        <v>132.5</v>
      </c>
      <c r="AC225" s="2">
        <v>132.80000000000001</v>
      </c>
      <c r="AD225" s="2">
        <f>AVERAGE(All_India_Index_Upto_April23_CPI_data[[#This Row],[Cereals and products]:[Food and beverages]])</f>
        <v>136.03076923076924</v>
      </c>
      <c r="AE225" s="2">
        <f>AVERAGE(All_India_Index_Upto_April23_CPI_data[[#This Row],[Recreation and amusement]],All_India_Index_Upto_April23_CPI_data[[#This Row],[Pan, tobacco and intoxicants]])</f>
        <v>149.15</v>
      </c>
      <c r="AF225" s="2">
        <f>AVERAGE(All_India_Index_Upto_April23_CPI_data[[#This Row],[Household goods and services]],All_India_Index_Upto_April23_CPI_data[[#This Row],[Housing]])</f>
        <v>142.9</v>
      </c>
      <c r="AG225" s="2">
        <f>AVERAGE(All_India_Index_Upto_April23_CPI_data[[#This Row],[Personal care and effects]],All_India_Index_Upto_April23_CPI_data[[#This Row],[Health]])</f>
        <v>135.85</v>
      </c>
      <c r="AH225" s="2">
        <f>AVERAGE(All_India_Index_Upto_April23_CPI_data[[#This Row],[Clothing]:[Clothing and footwear]])</f>
        <v>138.76666666666665</v>
      </c>
      <c r="AI225" s="2">
        <v>139.5</v>
      </c>
      <c r="AJ225" s="1">
        <f>(All_India_Index_Upto_April23_CPI_data[[#This Row],[General index]]-AI222)/AI222</f>
        <v>6.4935064935065347E-3</v>
      </c>
    </row>
    <row r="226" spans="1:36" x14ac:dyDescent="0.25">
      <c r="A226" t="s">
        <v>33</v>
      </c>
      <c r="B226">
        <v>2019</v>
      </c>
      <c r="C226" t="s">
        <v>35</v>
      </c>
      <c r="D226" s="2">
        <v>137.80000000000001</v>
      </c>
      <c r="E226" s="2">
        <v>153</v>
      </c>
      <c r="F226" s="2">
        <v>140.30000000000001</v>
      </c>
      <c r="G226" s="2">
        <v>142.30000000000001</v>
      </c>
      <c r="H226" s="2">
        <v>122</v>
      </c>
      <c r="I226" s="2">
        <v>137.6</v>
      </c>
      <c r="J226" s="2">
        <v>132.6</v>
      </c>
      <c r="K226" s="2">
        <v>121.8</v>
      </c>
      <c r="L226" s="2">
        <v>109</v>
      </c>
      <c r="M226" s="2">
        <v>139.5</v>
      </c>
      <c r="N226" s="2">
        <v>133.69999999999999</v>
      </c>
      <c r="O226" s="2">
        <v>155.19999999999999</v>
      </c>
      <c r="P226" s="2">
        <v>138.1</v>
      </c>
      <c r="Q226" s="2">
        <v>163.5</v>
      </c>
      <c r="R226" s="2">
        <v>147.9</v>
      </c>
      <c r="S226" s="2">
        <v>139.9</v>
      </c>
      <c r="T226" s="2">
        <v>146.69999999999999</v>
      </c>
      <c r="U226" s="2">
        <v>149</v>
      </c>
      <c r="V226" s="2">
        <v>139.69999999999999</v>
      </c>
      <c r="W226" s="2">
        <v>143.80000000000001</v>
      </c>
      <c r="X226" s="2">
        <v>146.19999999999999</v>
      </c>
      <c r="Y226" s="2">
        <v>124.6</v>
      </c>
      <c r="Z226" s="2">
        <v>137.69999999999999</v>
      </c>
      <c r="AA226" s="2">
        <v>150.30000000000001</v>
      </c>
      <c r="AB226" s="2">
        <v>133.4</v>
      </c>
      <c r="AC226" s="2">
        <v>137.69999999999999</v>
      </c>
      <c r="AD226" s="2">
        <f>AVERAGE(All_India_Index_Upto_April23_CPI_data[[#This Row],[Cereals and products]:[Food and beverages]])</f>
        <v>135.6076923076923</v>
      </c>
      <c r="AE226" s="2">
        <f>AVERAGE(All_India_Index_Upto_April23_CPI_data[[#This Row],[Recreation and amusement]],All_India_Index_Upto_April23_CPI_data[[#This Row],[Pan, tobacco and intoxicants]])</f>
        <v>150.6</v>
      </c>
      <c r="AF226" s="2">
        <f>AVERAGE(All_India_Index_Upto_April23_CPI_data[[#This Row],[Household goods and services]],All_India_Index_Upto_April23_CPI_data[[#This Row],[Housing]])</f>
        <v>146.4</v>
      </c>
      <c r="AG226" s="2">
        <f>AVERAGE(All_India_Index_Upto_April23_CPI_data[[#This Row],[Personal care and effects]],All_India_Index_Upto_April23_CPI_data[[#This Row],[Health]])</f>
        <v>139.80000000000001</v>
      </c>
      <c r="AH226" s="2">
        <f>AVERAGE(All_India_Index_Upto_April23_CPI_data[[#This Row],[Clothing]:[Clothing and footwear]])</f>
        <v>144.83333333333334</v>
      </c>
      <c r="AI226" s="2">
        <v>140.4</v>
      </c>
      <c r="AJ226" s="1">
        <f>(All_India_Index_Upto_April23_CPI_data[[#This Row],[General index]]-AI223)/AI223</f>
        <v>3.5739814152966403E-3</v>
      </c>
    </row>
    <row r="227" spans="1:36" x14ac:dyDescent="0.25">
      <c r="A227" t="s">
        <v>30</v>
      </c>
      <c r="B227">
        <v>2019</v>
      </c>
      <c r="C227" t="s">
        <v>37</v>
      </c>
      <c r="D227" s="2">
        <v>137.4</v>
      </c>
      <c r="E227" s="2">
        <v>159.5</v>
      </c>
      <c r="F227" s="2">
        <v>134.5</v>
      </c>
      <c r="G227" s="2">
        <v>142.6</v>
      </c>
      <c r="H227" s="2">
        <v>124</v>
      </c>
      <c r="I227" s="2">
        <v>143.69999999999999</v>
      </c>
      <c r="J227" s="2">
        <v>133.4</v>
      </c>
      <c r="K227" s="2">
        <v>125.1</v>
      </c>
      <c r="L227" s="2">
        <v>109.3</v>
      </c>
      <c r="M227" s="2">
        <v>139.30000000000001</v>
      </c>
      <c r="N227" s="2">
        <v>137.69999999999999</v>
      </c>
      <c r="O227" s="2">
        <v>156.4</v>
      </c>
      <c r="P227" s="2">
        <v>139.19999999999999</v>
      </c>
      <c r="Q227" s="2">
        <v>163.30000000000001</v>
      </c>
      <c r="R227" s="2">
        <v>151.30000000000001</v>
      </c>
      <c r="S227" s="2">
        <v>146.6</v>
      </c>
      <c r="T227" s="2">
        <v>150.69999999999999</v>
      </c>
      <c r="U227" s="2">
        <v>0</v>
      </c>
      <c r="V227" s="2">
        <v>146.9</v>
      </c>
      <c r="W227" s="2">
        <v>149.5</v>
      </c>
      <c r="X227" s="2">
        <v>151.30000000000001</v>
      </c>
      <c r="Y227" s="2">
        <v>130.19999999999999</v>
      </c>
      <c r="Z227" s="2">
        <v>145.9</v>
      </c>
      <c r="AA227" s="2">
        <v>156.69999999999999</v>
      </c>
      <c r="AB227" s="2">
        <v>133.9</v>
      </c>
      <c r="AC227" s="2">
        <v>142.9</v>
      </c>
      <c r="AD227" s="2">
        <f>AVERAGE(All_India_Index_Upto_April23_CPI_data[[#This Row],[Cereals and products]:[Food and beverages]])</f>
        <v>137.0846153846154</v>
      </c>
      <c r="AE227" s="2">
        <f>AVERAGE(All_India_Index_Upto_April23_CPI_data[[#This Row],[Recreation and amusement]],All_India_Index_Upto_April23_CPI_data[[#This Row],[Pan, tobacco and intoxicants]])</f>
        <v>154.60000000000002</v>
      </c>
      <c r="AF227" s="2">
        <f>AVERAGE(All_India_Index_Upto_April23_CPI_data[[#This Row],[Household goods and services]],All_India_Index_Upto_April23_CPI_data[[#This Row],[Housing]])</f>
        <v>74.75</v>
      </c>
      <c r="AG227" s="2">
        <f>AVERAGE(All_India_Index_Upto_April23_CPI_data[[#This Row],[Personal care and effects]],All_India_Index_Upto_April23_CPI_data[[#This Row],[Health]])</f>
        <v>142.60000000000002</v>
      </c>
      <c r="AH227" s="2">
        <f>AVERAGE(All_India_Index_Upto_April23_CPI_data[[#This Row],[Clothing]:[Clothing and footwear]])</f>
        <v>149.53333333333333</v>
      </c>
      <c r="AI227" s="2">
        <v>142.4</v>
      </c>
      <c r="AJ227" s="1">
        <f>(All_India_Index_Upto_April23_CPI_data[[#This Row],[General index]]-AI224)/AI224</f>
        <v>8.4985835694052214E-3</v>
      </c>
    </row>
    <row r="228" spans="1:36" x14ac:dyDescent="0.25">
      <c r="A228" t="s">
        <v>32</v>
      </c>
      <c r="B228">
        <v>2019</v>
      </c>
      <c r="C228" t="s">
        <v>37</v>
      </c>
      <c r="D228" s="2">
        <v>140.4</v>
      </c>
      <c r="E228" s="2">
        <v>156.69999999999999</v>
      </c>
      <c r="F228" s="2">
        <v>138.30000000000001</v>
      </c>
      <c r="G228" s="2">
        <v>142.4</v>
      </c>
      <c r="H228" s="2">
        <v>118.6</v>
      </c>
      <c r="I228" s="2">
        <v>149.69999999999999</v>
      </c>
      <c r="J228" s="2">
        <v>161.6</v>
      </c>
      <c r="K228" s="2">
        <v>124.4</v>
      </c>
      <c r="L228" s="2">
        <v>111.2</v>
      </c>
      <c r="M228" s="2">
        <v>141</v>
      </c>
      <c r="N228" s="2">
        <v>128.9</v>
      </c>
      <c r="O228" s="2">
        <v>154.5</v>
      </c>
      <c r="P228" s="2">
        <v>143.80000000000001</v>
      </c>
      <c r="Q228" s="2">
        <v>166.2</v>
      </c>
      <c r="R228" s="2">
        <v>144</v>
      </c>
      <c r="S228" s="2">
        <v>131.69999999999999</v>
      </c>
      <c r="T228" s="2">
        <v>142.19999999999999</v>
      </c>
      <c r="U228" s="2">
        <v>150.1</v>
      </c>
      <c r="V228" s="2">
        <v>129.4</v>
      </c>
      <c r="W228" s="2">
        <v>137.19999999999999</v>
      </c>
      <c r="X228" s="2">
        <v>139.80000000000001</v>
      </c>
      <c r="Y228" s="2">
        <v>120.1</v>
      </c>
      <c r="Z228" s="2">
        <v>134</v>
      </c>
      <c r="AA228" s="2">
        <v>148</v>
      </c>
      <c r="AB228" s="2">
        <v>132.6</v>
      </c>
      <c r="AC228" s="2">
        <v>133.30000000000001</v>
      </c>
      <c r="AD228" s="2">
        <f>AVERAGE(All_India_Index_Upto_April23_CPI_data[[#This Row],[Cereals and products]:[Food and beverages]])</f>
        <v>139.34615384615387</v>
      </c>
      <c r="AE228" s="2">
        <f>AVERAGE(All_India_Index_Upto_April23_CPI_data[[#This Row],[Recreation and amusement]],All_India_Index_Upto_April23_CPI_data[[#This Row],[Pan, tobacco and intoxicants]])</f>
        <v>150.1</v>
      </c>
      <c r="AF228" s="2">
        <f>AVERAGE(All_India_Index_Upto_April23_CPI_data[[#This Row],[Household goods and services]],All_India_Index_Upto_April23_CPI_data[[#This Row],[Housing]])</f>
        <v>143.64999999999998</v>
      </c>
      <c r="AG228" s="2">
        <f>AVERAGE(All_India_Index_Upto_April23_CPI_data[[#This Row],[Personal care and effects]],All_India_Index_Upto_April23_CPI_data[[#This Row],[Health]])</f>
        <v>136.19999999999999</v>
      </c>
      <c r="AH228" s="2">
        <f>AVERAGE(All_India_Index_Upto_April23_CPI_data[[#This Row],[Clothing]:[Clothing and footwear]])</f>
        <v>139.29999999999998</v>
      </c>
      <c r="AI228" s="2">
        <v>141.5</v>
      </c>
      <c r="AJ228" s="1">
        <f>(All_India_Index_Upto_April23_CPI_data[[#This Row],[General index]]-AI225)/AI225</f>
        <v>1.4336917562724014E-2</v>
      </c>
    </row>
    <row r="229" spans="1:36" x14ac:dyDescent="0.25">
      <c r="A229" t="s">
        <v>33</v>
      </c>
      <c r="B229">
        <v>2019</v>
      </c>
      <c r="C229" t="s">
        <v>37</v>
      </c>
      <c r="D229" s="2">
        <v>138.30000000000001</v>
      </c>
      <c r="E229" s="2">
        <v>158.5</v>
      </c>
      <c r="F229" s="2">
        <v>136</v>
      </c>
      <c r="G229" s="2">
        <v>142.5</v>
      </c>
      <c r="H229" s="2">
        <v>122</v>
      </c>
      <c r="I229" s="2">
        <v>146.5</v>
      </c>
      <c r="J229" s="2">
        <v>143</v>
      </c>
      <c r="K229" s="2">
        <v>124.9</v>
      </c>
      <c r="L229" s="2">
        <v>109.9</v>
      </c>
      <c r="M229" s="2">
        <v>139.9</v>
      </c>
      <c r="N229" s="2">
        <v>134</v>
      </c>
      <c r="O229" s="2">
        <v>155.5</v>
      </c>
      <c r="P229" s="2">
        <v>140.9</v>
      </c>
      <c r="Q229" s="2">
        <v>164.1</v>
      </c>
      <c r="R229" s="2">
        <v>148.4</v>
      </c>
      <c r="S229" s="2">
        <v>140.4</v>
      </c>
      <c r="T229" s="2">
        <v>147.30000000000001</v>
      </c>
      <c r="U229" s="2">
        <v>150.1</v>
      </c>
      <c r="V229" s="2">
        <v>140.30000000000001</v>
      </c>
      <c r="W229" s="2">
        <v>143.69999999999999</v>
      </c>
      <c r="X229" s="2">
        <v>146.9</v>
      </c>
      <c r="Y229" s="2">
        <v>124.9</v>
      </c>
      <c r="Z229" s="2">
        <v>139.19999999999999</v>
      </c>
      <c r="AA229" s="2">
        <v>151.6</v>
      </c>
      <c r="AB229" s="2">
        <v>133.4</v>
      </c>
      <c r="AC229" s="2">
        <v>138.19999999999999</v>
      </c>
      <c r="AD229" s="2">
        <f>AVERAGE(All_India_Index_Upto_April23_CPI_data[[#This Row],[Cereals and products]:[Food and beverages]])</f>
        <v>137.83846153846156</v>
      </c>
      <c r="AE229" s="2">
        <f>AVERAGE(All_India_Index_Upto_April23_CPI_data[[#This Row],[Recreation and amusement]],All_India_Index_Upto_April23_CPI_data[[#This Row],[Pan, tobacco and intoxicants]])</f>
        <v>151.64999999999998</v>
      </c>
      <c r="AF229" s="2">
        <f>AVERAGE(All_India_Index_Upto_April23_CPI_data[[#This Row],[Household goods and services]],All_India_Index_Upto_April23_CPI_data[[#This Row],[Housing]])</f>
        <v>146.89999999999998</v>
      </c>
      <c r="AG229" s="2">
        <f>AVERAGE(All_India_Index_Upto_April23_CPI_data[[#This Row],[Personal care and effects]],All_India_Index_Upto_April23_CPI_data[[#This Row],[Health]])</f>
        <v>140.15</v>
      </c>
      <c r="AH229" s="2">
        <f>AVERAGE(All_India_Index_Upto_April23_CPI_data[[#This Row],[Clothing]:[Clothing and footwear]])</f>
        <v>145.36666666666667</v>
      </c>
      <c r="AI229" s="2">
        <v>142</v>
      </c>
      <c r="AJ229" s="1">
        <f>(All_India_Index_Upto_April23_CPI_data[[#This Row],[General index]]-AI226)/AI226</f>
        <v>1.1396011396011355E-2</v>
      </c>
    </row>
    <row r="230" spans="1:36" x14ac:dyDescent="0.25">
      <c r="A230" t="s">
        <v>30</v>
      </c>
      <c r="B230">
        <v>2019</v>
      </c>
      <c r="C230" t="s">
        <v>38</v>
      </c>
      <c r="D230" s="2">
        <v>137.80000000000001</v>
      </c>
      <c r="E230" s="2">
        <v>163.5</v>
      </c>
      <c r="F230" s="2">
        <v>136.19999999999999</v>
      </c>
      <c r="G230" s="2">
        <v>143.19999999999999</v>
      </c>
      <c r="H230" s="2">
        <v>124.3</v>
      </c>
      <c r="I230" s="2">
        <v>143.30000000000001</v>
      </c>
      <c r="J230" s="2">
        <v>140.6</v>
      </c>
      <c r="K230" s="2">
        <v>128.69999999999999</v>
      </c>
      <c r="L230" s="2">
        <v>110.6</v>
      </c>
      <c r="M230" s="2">
        <v>140.4</v>
      </c>
      <c r="N230" s="2">
        <v>138</v>
      </c>
      <c r="O230" s="2">
        <v>156.6</v>
      </c>
      <c r="P230" s="2">
        <v>141</v>
      </c>
      <c r="Q230" s="2">
        <v>164.2</v>
      </c>
      <c r="R230" s="2">
        <v>151.4</v>
      </c>
      <c r="S230" s="2">
        <v>146.5</v>
      </c>
      <c r="T230" s="2">
        <v>150.69999999999999</v>
      </c>
      <c r="U230" s="2">
        <v>0</v>
      </c>
      <c r="V230" s="2">
        <v>147.80000000000001</v>
      </c>
      <c r="W230" s="2">
        <v>149.6</v>
      </c>
      <c r="X230" s="2">
        <v>151.69999999999999</v>
      </c>
      <c r="Y230" s="2">
        <v>130.19999999999999</v>
      </c>
      <c r="Z230" s="2">
        <v>146.4</v>
      </c>
      <c r="AA230" s="2">
        <v>157.69999999999999</v>
      </c>
      <c r="AB230" s="2">
        <v>134.80000000000001</v>
      </c>
      <c r="AC230" s="2">
        <v>143.30000000000001</v>
      </c>
      <c r="AD230" s="2">
        <f>AVERAGE(All_India_Index_Upto_April23_CPI_data[[#This Row],[Cereals and products]:[Food and beverages]])</f>
        <v>138.78461538461536</v>
      </c>
      <c r="AE230" s="2">
        <f>AVERAGE(All_India_Index_Upto_April23_CPI_data[[#This Row],[Recreation and amusement]],All_India_Index_Upto_April23_CPI_data[[#This Row],[Pan, tobacco and intoxicants]])</f>
        <v>155.30000000000001</v>
      </c>
      <c r="AF230" s="2">
        <f>AVERAGE(All_India_Index_Upto_April23_CPI_data[[#This Row],[Household goods and services]],All_India_Index_Upto_April23_CPI_data[[#This Row],[Housing]])</f>
        <v>74.8</v>
      </c>
      <c r="AG230" s="2">
        <f>AVERAGE(All_India_Index_Upto_April23_CPI_data[[#This Row],[Personal care and effects]],All_India_Index_Upto_April23_CPI_data[[#This Row],[Health]])</f>
        <v>143.25</v>
      </c>
      <c r="AH230" s="2">
        <f>AVERAGE(All_India_Index_Upto_April23_CPI_data[[#This Row],[Clothing]:[Clothing and footwear]])</f>
        <v>149.53333333333333</v>
      </c>
      <c r="AI230" s="2">
        <v>143.6</v>
      </c>
      <c r="AJ230" s="1">
        <f>(All_India_Index_Upto_April23_CPI_data[[#This Row],[General index]]-AI227)/AI227</f>
        <v>8.4269662921347514E-3</v>
      </c>
    </row>
    <row r="231" spans="1:36" x14ac:dyDescent="0.25">
      <c r="A231" t="s">
        <v>32</v>
      </c>
      <c r="B231">
        <v>2019</v>
      </c>
      <c r="C231" t="s">
        <v>38</v>
      </c>
      <c r="D231" s="2">
        <v>140.69999999999999</v>
      </c>
      <c r="E231" s="2">
        <v>159.6</v>
      </c>
      <c r="F231" s="2">
        <v>140.4</v>
      </c>
      <c r="G231" s="2">
        <v>143.4</v>
      </c>
      <c r="H231" s="2">
        <v>118.6</v>
      </c>
      <c r="I231" s="2">
        <v>150.9</v>
      </c>
      <c r="J231" s="2">
        <v>169.8</v>
      </c>
      <c r="K231" s="2">
        <v>127.4</v>
      </c>
      <c r="L231" s="2">
        <v>111.8</v>
      </c>
      <c r="M231" s="2">
        <v>141</v>
      </c>
      <c r="N231" s="2">
        <v>129</v>
      </c>
      <c r="O231" s="2">
        <v>155.1</v>
      </c>
      <c r="P231" s="2">
        <v>145.6</v>
      </c>
      <c r="Q231" s="2">
        <v>166.7</v>
      </c>
      <c r="R231" s="2">
        <v>144.30000000000001</v>
      </c>
      <c r="S231" s="2">
        <v>131.69999999999999</v>
      </c>
      <c r="T231" s="2">
        <v>142.4</v>
      </c>
      <c r="U231" s="2">
        <v>149.4</v>
      </c>
      <c r="V231" s="2">
        <v>130.5</v>
      </c>
      <c r="W231" s="2">
        <v>137.4</v>
      </c>
      <c r="X231" s="2">
        <v>140.30000000000001</v>
      </c>
      <c r="Y231" s="2">
        <v>119.6</v>
      </c>
      <c r="Z231" s="2">
        <v>134.30000000000001</v>
      </c>
      <c r="AA231" s="2">
        <v>148.9</v>
      </c>
      <c r="AB231" s="2">
        <v>133.69999999999999</v>
      </c>
      <c r="AC231" s="2">
        <v>133.6</v>
      </c>
      <c r="AD231" s="2">
        <f>AVERAGE(All_India_Index_Upto_April23_CPI_data[[#This Row],[Cereals and products]:[Food and beverages]])</f>
        <v>141.0230769230769</v>
      </c>
      <c r="AE231" s="2">
        <f>AVERAGE(All_India_Index_Upto_April23_CPI_data[[#This Row],[Recreation and amusement]],All_India_Index_Upto_April23_CPI_data[[#This Row],[Pan, tobacco and intoxicants]])</f>
        <v>150.5</v>
      </c>
      <c r="AF231" s="2">
        <f>AVERAGE(All_India_Index_Upto_April23_CPI_data[[#This Row],[Household goods and services]],All_India_Index_Upto_April23_CPI_data[[#This Row],[Housing]])</f>
        <v>143.4</v>
      </c>
      <c r="AG231" s="2">
        <f>AVERAGE(All_India_Index_Upto_April23_CPI_data[[#This Row],[Personal care and effects]],All_India_Index_Upto_April23_CPI_data[[#This Row],[Health]])</f>
        <v>137</v>
      </c>
      <c r="AH231" s="2">
        <f>AVERAGE(All_India_Index_Upto_April23_CPI_data[[#This Row],[Clothing]:[Clothing and footwear]])</f>
        <v>139.46666666666667</v>
      </c>
      <c r="AI231" s="2">
        <v>142.1</v>
      </c>
      <c r="AJ231" s="1">
        <f>(All_India_Index_Upto_April23_CPI_data[[#This Row],[General index]]-AI228)/AI228</f>
        <v>4.2402826855123272E-3</v>
      </c>
    </row>
    <row r="232" spans="1:36" x14ac:dyDescent="0.25">
      <c r="A232" t="s">
        <v>33</v>
      </c>
      <c r="B232">
        <v>2019</v>
      </c>
      <c r="C232" t="s">
        <v>38</v>
      </c>
      <c r="D232" s="2">
        <v>138.69999999999999</v>
      </c>
      <c r="E232" s="2">
        <v>162.1</v>
      </c>
      <c r="F232" s="2">
        <v>137.80000000000001</v>
      </c>
      <c r="G232" s="2">
        <v>143.30000000000001</v>
      </c>
      <c r="H232" s="2">
        <v>122.2</v>
      </c>
      <c r="I232" s="2">
        <v>146.80000000000001</v>
      </c>
      <c r="J232" s="2">
        <v>150.5</v>
      </c>
      <c r="K232" s="2">
        <v>128.30000000000001</v>
      </c>
      <c r="L232" s="2">
        <v>111</v>
      </c>
      <c r="M232" s="2">
        <v>140.6</v>
      </c>
      <c r="N232" s="2">
        <v>134.19999999999999</v>
      </c>
      <c r="O232" s="2">
        <v>155.9</v>
      </c>
      <c r="P232" s="2">
        <v>142.69999999999999</v>
      </c>
      <c r="Q232" s="2">
        <v>164.9</v>
      </c>
      <c r="R232" s="2">
        <v>148.6</v>
      </c>
      <c r="S232" s="2">
        <v>140.4</v>
      </c>
      <c r="T232" s="2">
        <v>147.4</v>
      </c>
      <c r="U232" s="2">
        <v>149.4</v>
      </c>
      <c r="V232" s="2">
        <v>141.19999999999999</v>
      </c>
      <c r="W232" s="2">
        <v>143.80000000000001</v>
      </c>
      <c r="X232" s="2">
        <v>147.4</v>
      </c>
      <c r="Y232" s="2">
        <v>124.6</v>
      </c>
      <c r="Z232" s="2">
        <v>139.6</v>
      </c>
      <c r="AA232" s="2">
        <v>152.5</v>
      </c>
      <c r="AB232" s="2">
        <v>134.30000000000001</v>
      </c>
      <c r="AC232" s="2">
        <v>138.6</v>
      </c>
      <c r="AD232" s="2">
        <f>AVERAGE(All_India_Index_Upto_April23_CPI_data[[#This Row],[Cereals and products]:[Food and beverages]])</f>
        <v>139.54615384615386</v>
      </c>
      <c r="AE232" s="2">
        <f>AVERAGE(All_India_Index_Upto_April23_CPI_data[[#This Row],[Recreation and amusement]],All_India_Index_Upto_April23_CPI_data[[#This Row],[Pan, tobacco and intoxicants]])</f>
        <v>152.25</v>
      </c>
      <c r="AF232" s="2">
        <f>AVERAGE(All_India_Index_Upto_April23_CPI_data[[#This Row],[Household goods and services]],All_India_Index_Upto_April23_CPI_data[[#This Row],[Housing]])</f>
        <v>146.60000000000002</v>
      </c>
      <c r="AG232" s="2">
        <f>AVERAGE(All_India_Index_Upto_April23_CPI_data[[#This Row],[Personal care and effects]],All_India_Index_Upto_April23_CPI_data[[#This Row],[Health]])</f>
        <v>140.85000000000002</v>
      </c>
      <c r="AH232" s="2">
        <f>AVERAGE(All_India_Index_Upto_April23_CPI_data[[#This Row],[Clothing]:[Clothing and footwear]])</f>
        <v>145.46666666666667</v>
      </c>
      <c r="AI232" s="2">
        <v>142.9</v>
      </c>
      <c r="AJ232" s="1">
        <f>(All_India_Index_Upto_April23_CPI_data[[#This Row],[General index]]-AI229)/AI229</f>
        <v>6.3380281690141246E-3</v>
      </c>
    </row>
    <row r="233" spans="1:36" x14ac:dyDescent="0.25">
      <c r="A233" t="s">
        <v>30</v>
      </c>
      <c r="B233">
        <v>2019</v>
      </c>
      <c r="C233" t="s">
        <v>39</v>
      </c>
      <c r="D233" s="2">
        <v>138.4</v>
      </c>
      <c r="E233" s="2">
        <v>164</v>
      </c>
      <c r="F233" s="2">
        <v>138.4</v>
      </c>
      <c r="G233" s="2">
        <v>143.9</v>
      </c>
      <c r="H233" s="2">
        <v>124.4</v>
      </c>
      <c r="I233" s="2">
        <v>146.4</v>
      </c>
      <c r="J233" s="2">
        <v>150.1</v>
      </c>
      <c r="K233" s="2">
        <v>130.6</v>
      </c>
      <c r="L233" s="2">
        <v>110.8</v>
      </c>
      <c r="M233" s="2">
        <v>141.69999999999999</v>
      </c>
      <c r="N233" s="2">
        <v>138.5</v>
      </c>
      <c r="O233" s="2">
        <v>156.69999999999999</v>
      </c>
      <c r="P233" s="2">
        <v>143</v>
      </c>
      <c r="Q233" s="2">
        <v>164.5</v>
      </c>
      <c r="R233" s="2">
        <v>151.6</v>
      </c>
      <c r="S233" s="2">
        <v>146.6</v>
      </c>
      <c r="T233" s="2">
        <v>150.9</v>
      </c>
      <c r="U233" s="2">
        <v>0</v>
      </c>
      <c r="V233" s="2">
        <v>146.80000000000001</v>
      </c>
      <c r="W233" s="2">
        <v>150</v>
      </c>
      <c r="X233" s="2">
        <v>152.19999999999999</v>
      </c>
      <c r="Y233" s="2">
        <v>131.19999999999999</v>
      </c>
      <c r="Z233" s="2">
        <v>147.5</v>
      </c>
      <c r="AA233" s="2">
        <v>159.1</v>
      </c>
      <c r="AB233" s="2">
        <v>136.1</v>
      </c>
      <c r="AC233" s="2">
        <v>144.19999999999999</v>
      </c>
      <c r="AD233" s="2">
        <f>AVERAGE(All_India_Index_Upto_April23_CPI_data[[#This Row],[Cereals and products]:[Food and beverages]])</f>
        <v>140.53076923076921</v>
      </c>
      <c r="AE233" s="2">
        <f>AVERAGE(All_India_Index_Upto_April23_CPI_data[[#This Row],[Recreation and amusement]],All_India_Index_Upto_April23_CPI_data[[#This Row],[Pan, tobacco and intoxicants]])</f>
        <v>156</v>
      </c>
      <c r="AF233" s="2">
        <f>AVERAGE(All_India_Index_Upto_April23_CPI_data[[#This Row],[Household goods and services]],All_India_Index_Upto_April23_CPI_data[[#This Row],[Housing]])</f>
        <v>75</v>
      </c>
      <c r="AG233" s="2">
        <f>AVERAGE(All_India_Index_Upto_April23_CPI_data[[#This Row],[Personal care and effects]],All_India_Index_Upto_April23_CPI_data[[#This Row],[Health]])</f>
        <v>144.14999999999998</v>
      </c>
      <c r="AH233" s="2">
        <f>AVERAGE(All_India_Index_Upto_April23_CPI_data[[#This Row],[Clothing]:[Clothing and footwear]])</f>
        <v>149.70000000000002</v>
      </c>
      <c r="AI233" s="2">
        <v>144.9</v>
      </c>
      <c r="AJ233" s="1">
        <f>(All_India_Index_Upto_April23_CPI_data[[#This Row],[General index]]-AI230)/AI230</f>
        <v>9.0529247910864311E-3</v>
      </c>
    </row>
    <row r="234" spans="1:36" x14ac:dyDescent="0.25">
      <c r="A234" t="s">
        <v>32</v>
      </c>
      <c r="B234">
        <v>2019</v>
      </c>
      <c r="C234" t="s">
        <v>39</v>
      </c>
      <c r="D234" s="2">
        <v>141.4</v>
      </c>
      <c r="E234" s="2">
        <v>160.19999999999999</v>
      </c>
      <c r="F234" s="2">
        <v>142.5</v>
      </c>
      <c r="G234" s="2">
        <v>144.1</v>
      </c>
      <c r="H234" s="2">
        <v>119.3</v>
      </c>
      <c r="I234" s="2">
        <v>154.69999999999999</v>
      </c>
      <c r="J234" s="2">
        <v>180.1</v>
      </c>
      <c r="K234" s="2">
        <v>128.9</v>
      </c>
      <c r="L234" s="2">
        <v>111.8</v>
      </c>
      <c r="M234" s="2">
        <v>141.6</v>
      </c>
      <c r="N234" s="2">
        <v>129.5</v>
      </c>
      <c r="O234" s="2">
        <v>155.6</v>
      </c>
      <c r="P234" s="2">
        <v>147.69999999999999</v>
      </c>
      <c r="Q234" s="2">
        <v>167.2</v>
      </c>
      <c r="R234" s="2">
        <v>144.69999999999999</v>
      </c>
      <c r="S234" s="2">
        <v>131.9</v>
      </c>
      <c r="T234" s="2">
        <v>142.69999999999999</v>
      </c>
      <c r="U234" s="2">
        <v>150.6</v>
      </c>
      <c r="V234" s="2">
        <v>127</v>
      </c>
      <c r="W234" s="2">
        <v>137.69999999999999</v>
      </c>
      <c r="X234" s="2">
        <v>140.80000000000001</v>
      </c>
      <c r="Y234" s="2">
        <v>120.6</v>
      </c>
      <c r="Z234" s="2">
        <v>135</v>
      </c>
      <c r="AA234" s="2">
        <v>150.4</v>
      </c>
      <c r="AB234" s="2">
        <v>135.1</v>
      </c>
      <c r="AC234" s="2">
        <v>134.5</v>
      </c>
      <c r="AD234" s="2">
        <f>AVERAGE(All_India_Index_Upto_April23_CPI_data[[#This Row],[Cereals and products]:[Food and beverages]])</f>
        <v>142.87692307692308</v>
      </c>
      <c r="AE234" s="2">
        <f>AVERAGE(All_India_Index_Upto_April23_CPI_data[[#This Row],[Recreation and amusement]],All_India_Index_Upto_April23_CPI_data[[#This Row],[Pan, tobacco and intoxicants]])</f>
        <v>151.1</v>
      </c>
      <c r="AF234" s="2">
        <f>AVERAGE(All_India_Index_Upto_April23_CPI_data[[#This Row],[Household goods and services]],All_India_Index_Upto_April23_CPI_data[[#This Row],[Housing]])</f>
        <v>144.14999999999998</v>
      </c>
      <c r="AG234" s="2">
        <f>AVERAGE(All_India_Index_Upto_April23_CPI_data[[#This Row],[Personal care and effects]],All_India_Index_Upto_April23_CPI_data[[#This Row],[Health]])</f>
        <v>137.94999999999999</v>
      </c>
      <c r="AH234" s="2">
        <f>AVERAGE(All_India_Index_Upto_April23_CPI_data[[#This Row],[Clothing]:[Clothing and footwear]])</f>
        <v>139.76666666666668</v>
      </c>
      <c r="AI234" s="2">
        <v>143.30000000000001</v>
      </c>
      <c r="AJ234" s="1">
        <f>(All_India_Index_Upto_April23_CPI_data[[#This Row],[General index]]-AI231)/AI231</f>
        <v>8.4447572132302397E-3</v>
      </c>
    </row>
    <row r="235" spans="1:36" x14ac:dyDescent="0.25">
      <c r="A235" t="s">
        <v>33</v>
      </c>
      <c r="B235">
        <v>2019</v>
      </c>
      <c r="C235" t="s">
        <v>39</v>
      </c>
      <c r="D235" s="2">
        <v>139.30000000000001</v>
      </c>
      <c r="E235" s="2">
        <v>162.69999999999999</v>
      </c>
      <c r="F235" s="2">
        <v>140</v>
      </c>
      <c r="G235" s="2">
        <v>144</v>
      </c>
      <c r="H235" s="2">
        <v>122.5</v>
      </c>
      <c r="I235" s="2">
        <v>150.30000000000001</v>
      </c>
      <c r="J235" s="2">
        <v>160.30000000000001</v>
      </c>
      <c r="K235" s="2">
        <v>130</v>
      </c>
      <c r="L235" s="2">
        <v>111.1</v>
      </c>
      <c r="M235" s="2">
        <v>141.69999999999999</v>
      </c>
      <c r="N235" s="2">
        <v>134.69999999999999</v>
      </c>
      <c r="O235" s="2">
        <v>156.19999999999999</v>
      </c>
      <c r="P235" s="2">
        <v>144.69999999999999</v>
      </c>
      <c r="Q235" s="2">
        <v>165.2</v>
      </c>
      <c r="R235" s="2">
        <v>148.9</v>
      </c>
      <c r="S235" s="2">
        <v>140.5</v>
      </c>
      <c r="T235" s="2">
        <v>147.6</v>
      </c>
      <c r="U235" s="2">
        <v>150.6</v>
      </c>
      <c r="V235" s="2">
        <v>139.30000000000001</v>
      </c>
      <c r="W235" s="2">
        <v>144.19999999999999</v>
      </c>
      <c r="X235" s="2">
        <v>147.9</v>
      </c>
      <c r="Y235" s="2">
        <v>125.6</v>
      </c>
      <c r="Z235" s="2">
        <v>140.5</v>
      </c>
      <c r="AA235" s="2">
        <v>154</v>
      </c>
      <c r="AB235" s="2">
        <v>135.69999999999999</v>
      </c>
      <c r="AC235" s="2">
        <v>139.5</v>
      </c>
      <c r="AD235" s="2">
        <f>AVERAGE(All_India_Index_Upto_April23_CPI_data[[#This Row],[Cereals and products]:[Food and beverages]])</f>
        <v>141.34615384615384</v>
      </c>
      <c r="AE235" s="2">
        <f>AVERAGE(All_India_Index_Upto_April23_CPI_data[[#This Row],[Recreation and amusement]],All_India_Index_Upto_April23_CPI_data[[#This Row],[Pan, tobacco and intoxicants]])</f>
        <v>152.85</v>
      </c>
      <c r="AF235" s="2">
        <f>AVERAGE(All_India_Index_Upto_April23_CPI_data[[#This Row],[Household goods and services]],All_India_Index_Upto_April23_CPI_data[[#This Row],[Housing]])</f>
        <v>147.39999999999998</v>
      </c>
      <c r="AG235" s="2">
        <f>AVERAGE(All_India_Index_Upto_April23_CPI_data[[#This Row],[Personal care and effects]],All_India_Index_Upto_April23_CPI_data[[#This Row],[Health]])</f>
        <v>141.80000000000001</v>
      </c>
      <c r="AH235" s="2">
        <f>AVERAGE(All_India_Index_Upto_April23_CPI_data[[#This Row],[Clothing]:[Clothing and footwear]])</f>
        <v>145.66666666666666</v>
      </c>
      <c r="AI235" s="2">
        <v>144.19999999999999</v>
      </c>
      <c r="AJ235" s="1">
        <f>(All_India_Index_Upto_April23_CPI_data[[#This Row],[General index]]-AI232)/AI232</f>
        <v>9.0972708187542547E-3</v>
      </c>
    </row>
    <row r="236" spans="1:36" x14ac:dyDescent="0.25">
      <c r="A236" t="s">
        <v>30</v>
      </c>
      <c r="B236">
        <v>2019</v>
      </c>
      <c r="C236" t="s">
        <v>40</v>
      </c>
      <c r="D236" s="2">
        <v>139.19999999999999</v>
      </c>
      <c r="E236" s="2">
        <v>161.9</v>
      </c>
      <c r="F236" s="2">
        <v>137.1</v>
      </c>
      <c r="G236" s="2">
        <v>144.6</v>
      </c>
      <c r="H236" s="2">
        <v>124.7</v>
      </c>
      <c r="I236" s="2">
        <v>145.5</v>
      </c>
      <c r="J236" s="2">
        <v>156.19999999999999</v>
      </c>
      <c r="K236" s="2">
        <v>131.5</v>
      </c>
      <c r="L236" s="2">
        <v>111.7</v>
      </c>
      <c r="M236" s="2">
        <v>142.69999999999999</v>
      </c>
      <c r="N236" s="2">
        <v>138.5</v>
      </c>
      <c r="O236" s="2">
        <v>156.9</v>
      </c>
      <c r="P236" s="2">
        <v>144</v>
      </c>
      <c r="Q236" s="2">
        <v>165.1</v>
      </c>
      <c r="R236" s="2">
        <v>151.80000000000001</v>
      </c>
      <c r="S236" s="2">
        <v>146.6</v>
      </c>
      <c r="T236" s="2">
        <v>151.1</v>
      </c>
      <c r="U236" s="2">
        <v>0</v>
      </c>
      <c r="V236" s="2">
        <v>146.4</v>
      </c>
      <c r="W236" s="2">
        <v>150.19999999999999</v>
      </c>
      <c r="X236" s="2">
        <v>152.69999999999999</v>
      </c>
      <c r="Y236" s="2">
        <v>131.4</v>
      </c>
      <c r="Z236" s="2">
        <v>148</v>
      </c>
      <c r="AA236" s="2">
        <v>159.69999999999999</v>
      </c>
      <c r="AB236" s="2">
        <v>138.80000000000001</v>
      </c>
      <c r="AC236" s="2">
        <v>144.9</v>
      </c>
      <c r="AD236" s="2">
        <f>AVERAGE(All_India_Index_Upto_April23_CPI_data[[#This Row],[Cereals and products]:[Food and beverages]])</f>
        <v>141.11538461538464</v>
      </c>
      <c r="AE236" s="2">
        <f>AVERAGE(All_India_Index_Upto_April23_CPI_data[[#This Row],[Recreation and amusement]],All_India_Index_Upto_April23_CPI_data[[#This Row],[Pan, tobacco and intoxicants]])</f>
        <v>156.55000000000001</v>
      </c>
      <c r="AF236" s="2">
        <f>AVERAGE(All_India_Index_Upto_April23_CPI_data[[#This Row],[Household goods and services]],All_India_Index_Upto_April23_CPI_data[[#This Row],[Housing]])</f>
        <v>75.099999999999994</v>
      </c>
      <c r="AG236" s="2">
        <f>AVERAGE(All_India_Index_Upto_April23_CPI_data[[#This Row],[Personal care and effects]],All_India_Index_Upto_April23_CPI_data[[#This Row],[Health]])</f>
        <v>145.75</v>
      </c>
      <c r="AH236" s="2">
        <f>AVERAGE(All_India_Index_Upto_April23_CPI_data[[#This Row],[Clothing]:[Clothing and footwear]])</f>
        <v>149.83333333333334</v>
      </c>
      <c r="AI236" s="2">
        <v>145.69999999999999</v>
      </c>
      <c r="AJ236" s="1">
        <f>(All_India_Index_Upto_April23_CPI_data[[#This Row],[General index]]-AI233)/AI233</f>
        <v>5.521048999309751E-3</v>
      </c>
    </row>
    <row r="237" spans="1:36" x14ac:dyDescent="0.25">
      <c r="A237" t="s">
        <v>32</v>
      </c>
      <c r="B237">
        <v>2019</v>
      </c>
      <c r="C237" t="s">
        <v>40</v>
      </c>
      <c r="D237" s="2">
        <v>142.1</v>
      </c>
      <c r="E237" s="2">
        <v>158.30000000000001</v>
      </c>
      <c r="F237" s="2">
        <v>140.80000000000001</v>
      </c>
      <c r="G237" s="2">
        <v>144.9</v>
      </c>
      <c r="H237" s="2">
        <v>119.9</v>
      </c>
      <c r="I237" s="2">
        <v>153.9</v>
      </c>
      <c r="J237" s="2">
        <v>189.1</v>
      </c>
      <c r="K237" s="2">
        <v>129.80000000000001</v>
      </c>
      <c r="L237" s="2">
        <v>112.7</v>
      </c>
      <c r="M237" s="2">
        <v>142.5</v>
      </c>
      <c r="N237" s="2">
        <v>129.80000000000001</v>
      </c>
      <c r="O237" s="2">
        <v>156.19999999999999</v>
      </c>
      <c r="P237" s="2">
        <v>149.1</v>
      </c>
      <c r="Q237" s="2">
        <v>167.9</v>
      </c>
      <c r="R237" s="2">
        <v>145</v>
      </c>
      <c r="S237" s="2">
        <v>132.19999999999999</v>
      </c>
      <c r="T237" s="2">
        <v>143</v>
      </c>
      <c r="U237" s="2">
        <v>151.6</v>
      </c>
      <c r="V237" s="2">
        <v>125.5</v>
      </c>
      <c r="W237" s="2">
        <v>138.1</v>
      </c>
      <c r="X237" s="2">
        <v>141.5</v>
      </c>
      <c r="Y237" s="2">
        <v>120.8</v>
      </c>
      <c r="Z237" s="2">
        <v>135.4</v>
      </c>
      <c r="AA237" s="2">
        <v>151.5</v>
      </c>
      <c r="AB237" s="2">
        <v>137.80000000000001</v>
      </c>
      <c r="AC237" s="2">
        <v>135.30000000000001</v>
      </c>
      <c r="AD237" s="2">
        <f>AVERAGE(All_India_Index_Upto_April23_CPI_data[[#This Row],[Cereals and products]:[Food and beverages]])</f>
        <v>143.77692307692308</v>
      </c>
      <c r="AE237" s="2">
        <f>AVERAGE(All_India_Index_Upto_April23_CPI_data[[#This Row],[Recreation and amusement]],All_India_Index_Upto_April23_CPI_data[[#This Row],[Pan, tobacco and intoxicants]])</f>
        <v>151.65</v>
      </c>
      <c r="AF237" s="2">
        <f>AVERAGE(All_India_Index_Upto_April23_CPI_data[[#This Row],[Household goods and services]],All_India_Index_Upto_April23_CPI_data[[#This Row],[Housing]])</f>
        <v>144.85</v>
      </c>
      <c r="AG237" s="2">
        <f>AVERAGE(All_India_Index_Upto_April23_CPI_data[[#This Row],[Personal care and effects]],All_India_Index_Upto_April23_CPI_data[[#This Row],[Health]])</f>
        <v>139.65</v>
      </c>
      <c r="AH237" s="2">
        <f>AVERAGE(All_India_Index_Upto_April23_CPI_data[[#This Row],[Clothing]:[Clothing and footwear]])</f>
        <v>140.06666666666666</v>
      </c>
      <c r="AI237" s="2">
        <v>144.19999999999999</v>
      </c>
      <c r="AJ237" s="1">
        <f>(All_India_Index_Upto_April23_CPI_data[[#This Row],[General index]]-AI234)/AI234</f>
        <v>6.2805303558965608E-3</v>
      </c>
    </row>
    <row r="238" spans="1:36" x14ac:dyDescent="0.25">
      <c r="A238" t="s">
        <v>33</v>
      </c>
      <c r="B238">
        <v>2019</v>
      </c>
      <c r="C238" t="s">
        <v>40</v>
      </c>
      <c r="D238" s="2">
        <v>140.1</v>
      </c>
      <c r="E238" s="2">
        <v>160.6</v>
      </c>
      <c r="F238" s="2">
        <v>138.5</v>
      </c>
      <c r="G238" s="2">
        <v>144.69999999999999</v>
      </c>
      <c r="H238" s="2">
        <v>122.9</v>
      </c>
      <c r="I238" s="2">
        <v>149.4</v>
      </c>
      <c r="J238" s="2">
        <v>167.4</v>
      </c>
      <c r="K238" s="2">
        <v>130.9</v>
      </c>
      <c r="L238" s="2">
        <v>112</v>
      </c>
      <c r="M238" s="2">
        <v>142.6</v>
      </c>
      <c r="N238" s="2">
        <v>134.9</v>
      </c>
      <c r="O238" s="2">
        <v>156.6</v>
      </c>
      <c r="P238" s="2">
        <v>145.9</v>
      </c>
      <c r="Q238" s="2">
        <v>165.8</v>
      </c>
      <c r="R238" s="2">
        <v>149.1</v>
      </c>
      <c r="S238" s="2">
        <v>140.6</v>
      </c>
      <c r="T238" s="2">
        <v>147.9</v>
      </c>
      <c r="U238" s="2">
        <v>151.6</v>
      </c>
      <c r="V238" s="2">
        <v>138.5</v>
      </c>
      <c r="W238" s="2">
        <v>144.5</v>
      </c>
      <c r="X238" s="2">
        <v>148.5</v>
      </c>
      <c r="Y238" s="2">
        <v>125.8</v>
      </c>
      <c r="Z238" s="2">
        <v>140.9</v>
      </c>
      <c r="AA238" s="2">
        <v>154.9</v>
      </c>
      <c r="AB238" s="2">
        <v>138.4</v>
      </c>
      <c r="AC238" s="2">
        <v>140.19999999999999</v>
      </c>
      <c r="AD238" s="2">
        <f>AVERAGE(All_India_Index_Upto_April23_CPI_data[[#This Row],[Cereals and products]:[Food and beverages]])</f>
        <v>142.03846153846155</v>
      </c>
      <c r="AE238" s="2">
        <f>AVERAGE(All_India_Index_Upto_April23_CPI_data[[#This Row],[Recreation and amusement]],All_India_Index_Upto_April23_CPI_data[[#This Row],[Pan, tobacco and intoxicants]])</f>
        <v>153.35000000000002</v>
      </c>
      <c r="AF238" s="2">
        <f>AVERAGE(All_India_Index_Upto_April23_CPI_data[[#This Row],[Household goods and services]],All_India_Index_Upto_April23_CPI_data[[#This Row],[Housing]])</f>
        <v>148.05000000000001</v>
      </c>
      <c r="AG238" s="2">
        <f>AVERAGE(All_India_Index_Upto_April23_CPI_data[[#This Row],[Personal care and effects]],All_India_Index_Upto_April23_CPI_data[[#This Row],[Health]])</f>
        <v>143.44999999999999</v>
      </c>
      <c r="AH238" s="2">
        <f>AVERAGE(All_India_Index_Upto_April23_CPI_data[[#This Row],[Clothing]:[Clothing and footwear]])</f>
        <v>145.86666666666667</v>
      </c>
      <c r="AI238" s="2">
        <v>145</v>
      </c>
      <c r="AJ238" s="1">
        <f>(All_India_Index_Upto_April23_CPI_data[[#This Row],[General index]]-AI235)/AI235</f>
        <v>5.5478502080444619E-3</v>
      </c>
    </row>
    <row r="239" spans="1:36" x14ac:dyDescent="0.25">
      <c r="A239" t="s">
        <v>30</v>
      </c>
      <c r="B239">
        <v>2019</v>
      </c>
      <c r="C239" t="s">
        <v>41</v>
      </c>
      <c r="D239" s="2">
        <v>140.1</v>
      </c>
      <c r="E239" s="2">
        <v>161.9</v>
      </c>
      <c r="F239" s="2">
        <v>138.30000000000001</v>
      </c>
      <c r="G239" s="2">
        <v>145.69999999999999</v>
      </c>
      <c r="H239" s="2">
        <v>125.1</v>
      </c>
      <c r="I239" s="2">
        <v>143.80000000000001</v>
      </c>
      <c r="J239" s="2">
        <v>163.4</v>
      </c>
      <c r="K239" s="2">
        <v>132.19999999999999</v>
      </c>
      <c r="L239" s="2">
        <v>112.8</v>
      </c>
      <c r="M239" s="2">
        <v>144.19999999999999</v>
      </c>
      <c r="N239" s="2">
        <v>138.5</v>
      </c>
      <c r="O239" s="2">
        <v>157.19999999999999</v>
      </c>
      <c r="P239" s="2">
        <v>145.5</v>
      </c>
      <c r="Q239" s="2">
        <v>165.7</v>
      </c>
      <c r="R239" s="2">
        <v>151.69999999999999</v>
      </c>
      <c r="S239" s="2">
        <v>146.6</v>
      </c>
      <c r="T239" s="2">
        <v>151</v>
      </c>
      <c r="U239" s="2">
        <v>0</v>
      </c>
      <c r="V239" s="2">
        <v>146.9</v>
      </c>
      <c r="W239" s="2">
        <v>150.30000000000001</v>
      </c>
      <c r="X239" s="2">
        <v>153.4</v>
      </c>
      <c r="Y239" s="2">
        <v>131.6</v>
      </c>
      <c r="Z239" s="2">
        <v>148.30000000000001</v>
      </c>
      <c r="AA239" s="2">
        <v>160.19999999999999</v>
      </c>
      <c r="AB239" s="2">
        <v>140.19999999999999</v>
      </c>
      <c r="AC239" s="2">
        <v>145.4</v>
      </c>
      <c r="AD239" s="2">
        <f>AVERAGE(All_India_Index_Upto_April23_CPI_data[[#This Row],[Cereals and products]:[Food and beverages]])</f>
        <v>142.2076923076923</v>
      </c>
      <c r="AE239" s="2">
        <f>AVERAGE(All_India_Index_Upto_April23_CPI_data[[#This Row],[Recreation and amusement]],All_India_Index_Upto_April23_CPI_data[[#This Row],[Pan, tobacco and intoxicants]])</f>
        <v>157</v>
      </c>
      <c r="AF239" s="2">
        <f>AVERAGE(All_India_Index_Upto_April23_CPI_data[[#This Row],[Household goods and services]],All_India_Index_Upto_April23_CPI_data[[#This Row],[Housing]])</f>
        <v>75.150000000000006</v>
      </c>
      <c r="AG239" s="2">
        <f>AVERAGE(All_India_Index_Upto_April23_CPI_data[[#This Row],[Personal care and effects]],All_India_Index_Upto_April23_CPI_data[[#This Row],[Health]])</f>
        <v>146.80000000000001</v>
      </c>
      <c r="AH239" s="2">
        <f>AVERAGE(All_India_Index_Upto_April23_CPI_data[[#This Row],[Clothing]:[Clothing and footwear]])</f>
        <v>149.76666666666665</v>
      </c>
      <c r="AI239" s="2">
        <v>146.69999999999999</v>
      </c>
      <c r="AJ239" s="1">
        <f>(All_India_Index_Upto_April23_CPI_data[[#This Row],[General index]]-AI236)/AI236</f>
        <v>6.8634179821551134E-3</v>
      </c>
    </row>
    <row r="240" spans="1:36" x14ac:dyDescent="0.25">
      <c r="A240" t="s">
        <v>32</v>
      </c>
      <c r="B240">
        <v>2019</v>
      </c>
      <c r="C240" t="s">
        <v>41</v>
      </c>
      <c r="D240" s="2">
        <v>142.69999999999999</v>
      </c>
      <c r="E240" s="2">
        <v>158.69999999999999</v>
      </c>
      <c r="F240" s="2">
        <v>141.6</v>
      </c>
      <c r="G240" s="2">
        <v>144.9</v>
      </c>
      <c r="H240" s="2">
        <v>120.8</v>
      </c>
      <c r="I240" s="2">
        <v>149.80000000000001</v>
      </c>
      <c r="J240" s="2">
        <v>192.4</v>
      </c>
      <c r="K240" s="2">
        <v>130.30000000000001</v>
      </c>
      <c r="L240" s="2">
        <v>114</v>
      </c>
      <c r="M240" s="2">
        <v>143.80000000000001</v>
      </c>
      <c r="N240" s="2">
        <v>130</v>
      </c>
      <c r="O240" s="2">
        <v>156.4</v>
      </c>
      <c r="P240" s="2">
        <v>149.5</v>
      </c>
      <c r="Q240" s="2">
        <v>168.6</v>
      </c>
      <c r="R240" s="2">
        <v>145.30000000000001</v>
      </c>
      <c r="S240" s="2">
        <v>132.19999999999999</v>
      </c>
      <c r="T240" s="2">
        <v>143.30000000000001</v>
      </c>
      <c r="U240" s="2">
        <v>152.19999999999999</v>
      </c>
      <c r="V240" s="2">
        <v>126.6</v>
      </c>
      <c r="W240" s="2">
        <v>138.30000000000001</v>
      </c>
      <c r="X240" s="2">
        <v>141.9</v>
      </c>
      <c r="Y240" s="2">
        <v>121.2</v>
      </c>
      <c r="Z240" s="2">
        <v>135.9</v>
      </c>
      <c r="AA240" s="2">
        <v>151.6</v>
      </c>
      <c r="AB240" s="2">
        <v>139</v>
      </c>
      <c r="AC240" s="2">
        <v>135.69999999999999</v>
      </c>
      <c r="AD240" s="2">
        <f>AVERAGE(All_India_Index_Upto_April23_CPI_data[[#This Row],[Cereals and products]:[Food and beverages]])</f>
        <v>144.22307692307692</v>
      </c>
      <c r="AE240" s="2">
        <f>AVERAGE(All_India_Index_Upto_April23_CPI_data[[#This Row],[Recreation and amusement]],All_India_Index_Upto_April23_CPI_data[[#This Row],[Pan, tobacco and intoxicants]])</f>
        <v>152.25</v>
      </c>
      <c r="AF240" s="2">
        <f>AVERAGE(All_India_Index_Upto_April23_CPI_data[[#This Row],[Household goods and services]],All_India_Index_Upto_April23_CPI_data[[#This Row],[Housing]])</f>
        <v>145.25</v>
      </c>
      <c r="AG240" s="2">
        <f>AVERAGE(All_India_Index_Upto_April23_CPI_data[[#This Row],[Personal care and effects]],All_India_Index_Upto_April23_CPI_data[[#This Row],[Health]])</f>
        <v>140.44999999999999</v>
      </c>
      <c r="AH240" s="2">
        <f>AVERAGE(All_India_Index_Upto_April23_CPI_data[[#This Row],[Clothing]:[Clothing and footwear]])</f>
        <v>140.26666666666668</v>
      </c>
      <c r="AI240" s="2">
        <v>144.69999999999999</v>
      </c>
      <c r="AJ240" s="1">
        <f>(All_India_Index_Upto_April23_CPI_data[[#This Row],[General index]]-AI237)/AI237</f>
        <v>3.4674063800277394E-3</v>
      </c>
    </row>
    <row r="241" spans="1:36" x14ac:dyDescent="0.25">
      <c r="A241" t="s">
        <v>33</v>
      </c>
      <c r="B241">
        <v>2019</v>
      </c>
      <c r="C241" t="s">
        <v>41</v>
      </c>
      <c r="D241" s="2">
        <v>140.9</v>
      </c>
      <c r="E241" s="2">
        <v>160.80000000000001</v>
      </c>
      <c r="F241" s="2">
        <v>139.6</v>
      </c>
      <c r="G241" s="2">
        <v>145.4</v>
      </c>
      <c r="H241" s="2">
        <v>123.5</v>
      </c>
      <c r="I241" s="2">
        <v>146.6</v>
      </c>
      <c r="J241" s="2">
        <v>173.2</v>
      </c>
      <c r="K241" s="2">
        <v>131.6</v>
      </c>
      <c r="L241" s="2">
        <v>113.2</v>
      </c>
      <c r="M241" s="2">
        <v>144.1</v>
      </c>
      <c r="N241" s="2">
        <v>135</v>
      </c>
      <c r="O241" s="2">
        <v>156.80000000000001</v>
      </c>
      <c r="P241" s="2">
        <v>147</v>
      </c>
      <c r="Q241" s="2">
        <v>166.5</v>
      </c>
      <c r="R241" s="2">
        <v>149.19999999999999</v>
      </c>
      <c r="S241" s="2">
        <v>140.6</v>
      </c>
      <c r="T241" s="2">
        <v>147.9</v>
      </c>
      <c r="U241" s="2">
        <v>152.19999999999999</v>
      </c>
      <c r="V241" s="2">
        <v>139.19999999999999</v>
      </c>
      <c r="W241" s="2">
        <v>144.6</v>
      </c>
      <c r="X241" s="2">
        <v>149</v>
      </c>
      <c r="Y241" s="2">
        <v>126.1</v>
      </c>
      <c r="Z241" s="2">
        <v>141.30000000000001</v>
      </c>
      <c r="AA241" s="2">
        <v>155.19999999999999</v>
      </c>
      <c r="AB241" s="2">
        <v>139.69999999999999</v>
      </c>
      <c r="AC241" s="2">
        <v>140.69999999999999</v>
      </c>
      <c r="AD241" s="2">
        <f>AVERAGE(All_India_Index_Upto_April23_CPI_data[[#This Row],[Cereals and products]:[Food and beverages]])</f>
        <v>142.89999999999998</v>
      </c>
      <c r="AE241" s="2">
        <f>AVERAGE(All_India_Index_Upto_April23_CPI_data[[#This Row],[Recreation and amusement]],All_India_Index_Upto_April23_CPI_data[[#This Row],[Pan, tobacco and intoxicants]])</f>
        <v>153.9</v>
      </c>
      <c r="AF241" s="2">
        <f>AVERAGE(All_India_Index_Upto_April23_CPI_data[[#This Row],[Household goods and services]],All_India_Index_Upto_April23_CPI_data[[#This Row],[Housing]])</f>
        <v>148.39999999999998</v>
      </c>
      <c r="AG241" s="2">
        <f>AVERAGE(All_India_Index_Upto_April23_CPI_data[[#This Row],[Personal care and effects]],All_India_Index_Upto_April23_CPI_data[[#This Row],[Health]])</f>
        <v>144.35</v>
      </c>
      <c r="AH241" s="2">
        <f>AVERAGE(All_India_Index_Upto_April23_CPI_data[[#This Row],[Clothing]:[Clothing and footwear]])</f>
        <v>145.89999999999998</v>
      </c>
      <c r="AI241" s="2">
        <v>145.80000000000001</v>
      </c>
      <c r="AJ241" s="1">
        <f>(All_India_Index_Upto_April23_CPI_data[[#This Row],[General index]]-AI238)/AI238</f>
        <v>5.5172413793104233E-3</v>
      </c>
    </row>
    <row r="242" spans="1:36" x14ac:dyDescent="0.25">
      <c r="A242" t="s">
        <v>30</v>
      </c>
      <c r="B242">
        <v>2019</v>
      </c>
      <c r="C242" t="s">
        <v>42</v>
      </c>
      <c r="D242" s="2">
        <v>141</v>
      </c>
      <c r="E242" s="2">
        <v>161.6</v>
      </c>
      <c r="F242" s="2">
        <v>141.19999999999999</v>
      </c>
      <c r="G242" s="2">
        <v>146.5</v>
      </c>
      <c r="H242" s="2">
        <v>125.6</v>
      </c>
      <c r="I242" s="2">
        <v>145.69999999999999</v>
      </c>
      <c r="J242" s="2">
        <v>178.8</v>
      </c>
      <c r="K242" s="2">
        <v>133.1</v>
      </c>
      <c r="L242" s="2">
        <v>113.6</v>
      </c>
      <c r="M242" s="2">
        <v>145.5</v>
      </c>
      <c r="N242" s="2">
        <v>138.6</v>
      </c>
      <c r="O242" s="2">
        <v>157.4</v>
      </c>
      <c r="P242" s="2">
        <v>148.30000000000001</v>
      </c>
      <c r="Q242" s="2">
        <v>166.3</v>
      </c>
      <c r="R242" s="2">
        <v>151.69999999999999</v>
      </c>
      <c r="S242" s="2">
        <v>146.69999999999999</v>
      </c>
      <c r="T242" s="2">
        <v>151</v>
      </c>
      <c r="U242" s="2">
        <v>0</v>
      </c>
      <c r="V242" s="2">
        <v>147.69999999999999</v>
      </c>
      <c r="W242" s="2">
        <v>150.6</v>
      </c>
      <c r="X242" s="2">
        <v>153.69999999999999</v>
      </c>
      <c r="Y242" s="2">
        <v>131.69999999999999</v>
      </c>
      <c r="Z242" s="2">
        <v>148.69999999999999</v>
      </c>
      <c r="AA242" s="2">
        <v>160.69999999999999</v>
      </c>
      <c r="AB242" s="2">
        <v>140.30000000000001</v>
      </c>
      <c r="AC242" s="2">
        <v>145.69999999999999</v>
      </c>
      <c r="AD242" s="2">
        <f>AVERAGE(All_India_Index_Upto_April23_CPI_data[[#This Row],[Cereals and products]:[Food and beverages]])</f>
        <v>144.37692307692305</v>
      </c>
      <c r="AE242" s="2">
        <f>AVERAGE(All_India_Index_Upto_April23_CPI_data[[#This Row],[Recreation and amusement]],All_India_Index_Upto_April23_CPI_data[[#This Row],[Pan, tobacco and intoxicants]])</f>
        <v>157.5</v>
      </c>
      <c r="AF242" s="2">
        <f>AVERAGE(All_India_Index_Upto_April23_CPI_data[[#This Row],[Household goods and services]],All_India_Index_Upto_April23_CPI_data[[#This Row],[Housing]])</f>
        <v>75.3</v>
      </c>
      <c r="AG242" s="2">
        <f>AVERAGE(All_India_Index_Upto_April23_CPI_data[[#This Row],[Personal care and effects]],All_India_Index_Upto_April23_CPI_data[[#This Row],[Health]])</f>
        <v>147</v>
      </c>
      <c r="AH242" s="2">
        <f>AVERAGE(All_India_Index_Upto_April23_CPI_data[[#This Row],[Clothing]:[Clothing and footwear]])</f>
        <v>149.79999999999998</v>
      </c>
      <c r="AI242" s="2">
        <v>148.30000000000001</v>
      </c>
      <c r="AJ242" s="1">
        <f>(All_India_Index_Upto_April23_CPI_data[[#This Row],[General index]]-AI239)/AI239</f>
        <v>1.0906612133606155E-2</v>
      </c>
    </row>
    <row r="243" spans="1:36" x14ac:dyDescent="0.25">
      <c r="A243" t="s">
        <v>32</v>
      </c>
      <c r="B243">
        <v>2019</v>
      </c>
      <c r="C243" t="s">
        <v>42</v>
      </c>
      <c r="D243" s="2">
        <v>143.5</v>
      </c>
      <c r="E243" s="2">
        <v>159.80000000000001</v>
      </c>
      <c r="F243" s="2">
        <v>144.69999999999999</v>
      </c>
      <c r="G243" s="2">
        <v>145.6</v>
      </c>
      <c r="H243" s="2">
        <v>121.1</v>
      </c>
      <c r="I243" s="2">
        <v>150.6</v>
      </c>
      <c r="J243" s="2">
        <v>207.2</v>
      </c>
      <c r="K243" s="2">
        <v>131.19999999999999</v>
      </c>
      <c r="L243" s="2">
        <v>114.8</v>
      </c>
      <c r="M243" s="2">
        <v>145.19999999999999</v>
      </c>
      <c r="N243" s="2">
        <v>130.19999999999999</v>
      </c>
      <c r="O243" s="2">
        <v>156.80000000000001</v>
      </c>
      <c r="P243" s="2">
        <v>151.9</v>
      </c>
      <c r="Q243" s="2">
        <v>169.3</v>
      </c>
      <c r="R243" s="2">
        <v>145.9</v>
      </c>
      <c r="S243" s="2">
        <v>132.4</v>
      </c>
      <c r="T243" s="2">
        <v>143.9</v>
      </c>
      <c r="U243" s="2">
        <v>153</v>
      </c>
      <c r="V243" s="2">
        <v>128.9</v>
      </c>
      <c r="W243" s="2">
        <v>138.69999999999999</v>
      </c>
      <c r="X243" s="2">
        <v>142.4</v>
      </c>
      <c r="Y243" s="2">
        <v>121.5</v>
      </c>
      <c r="Z243" s="2">
        <v>136.19999999999999</v>
      </c>
      <c r="AA243" s="2">
        <v>151.69999999999999</v>
      </c>
      <c r="AB243" s="2">
        <v>139.5</v>
      </c>
      <c r="AC243" s="2">
        <v>136</v>
      </c>
      <c r="AD243" s="2">
        <f>AVERAGE(All_India_Index_Upto_April23_CPI_data[[#This Row],[Cereals and products]:[Food and beverages]])</f>
        <v>146.35384615384618</v>
      </c>
      <c r="AE243" s="2">
        <f>AVERAGE(All_India_Index_Upto_April23_CPI_data[[#This Row],[Recreation and amusement]],All_India_Index_Upto_April23_CPI_data[[#This Row],[Pan, tobacco and intoxicants]])</f>
        <v>152.75</v>
      </c>
      <c r="AF243" s="2">
        <f>AVERAGE(All_India_Index_Upto_April23_CPI_data[[#This Row],[Household goods and services]],All_India_Index_Upto_April23_CPI_data[[#This Row],[Housing]])</f>
        <v>145.85</v>
      </c>
      <c r="AG243" s="2">
        <f>AVERAGE(All_India_Index_Upto_April23_CPI_data[[#This Row],[Personal care and effects]],All_India_Index_Upto_April23_CPI_data[[#This Row],[Health]])</f>
        <v>140.94999999999999</v>
      </c>
      <c r="AH243" s="2">
        <f>AVERAGE(All_India_Index_Upto_April23_CPI_data[[#This Row],[Clothing]:[Clothing and footwear]])</f>
        <v>140.73333333333335</v>
      </c>
      <c r="AI243" s="2">
        <v>146</v>
      </c>
      <c r="AJ243" s="1">
        <f>(All_India_Index_Upto_April23_CPI_data[[#This Row],[General index]]-AI240)/AI240</f>
        <v>8.9841050449206046E-3</v>
      </c>
    </row>
    <row r="244" spans="1:36" x14ac:dyDescent="0.25">
      <c r="A244" t="s">
        <v>33</v>
      </c>
      <c r="B244">
        <v>2019</v>
      </c>
      <c r="C244" t="s">
        <v>42</v>
      </c>
      <c r="D244" s="2">
        <v>141.80000000000001</v>
      </c>
      <c r="E244" s="2">
        <v>161</v>
      </c>
      <c r="F244" s="2">
        <v>142.6</v>
      </c>
      <c r="G244" s="2">
        <v>146.19999999999999</v>
      </c>
      <c r="H244" s="2">
        <v>123.9</v>
      </c>
      <c r="I244" s="2">
        <v>148</v>
      </c>
      <c r="J244" s="2">
        <v>188.4</v>
      </c>
      <c r="K244" s="2">
        <v>132.5</v>
      </c>
      <c r="L244" s="2">
        <v>114</v>
      </c>
      <c r="M244" s="2">
        <v>145.4</v>
      </c>
      <c r="N244" s="2">
        <v>135.1</v>
      </c>
      <c r="O244" s="2">
        <v>157.1</v>
      </c>
      <c r="P244" s="2">
        <v>149.6</v>
      </c>
      <c r="Q244" s="2">
        <v>167.1</v>
      </c>
      <c r="R244" s="2">
        <v>149.4</v>
      </c>
      <c r="S244" s="2">
        <v>140.80000000000001</v>
      </c>
      <c r="T244" s="2">
        <v>148.19999999999999</v>
      </c>
      <c r="U244" s="2">
        <v>153</v>
      </c>
      <c r="V244" s="2">
        <v>140.6</v>
      </c>
      <c r="W244" s="2">
        <v>145</v>
      </c>
      <c r="X244" s="2">
        <v>149.4</v>
      </c>
      <c r="Y244" s="2">
        <v>126.3</v>
      </c>
      <c r="Z244" s="2">
        <v>141.69999999999999</v>
      </c>
      <c r="AA244" s="2">
        <v>155.4</v>
      </c>
      <c r="AB244" s="2">
        <v>140</v>
      </c>
      <c r="AC244" s="2">
        <v>141</v>
      </c>
      <c r="AD244" s="2">
        <f>AVERAGE(All_India_Index_Upto_April23_CPI_data[[#This Row],[Cereals and products]:[Food and beverages]])</f>
        <v>145.04615384615383</v>
      </c>
      <c r="AE244" s="2">
        <f>AVERAGE(All_India_Index_Upto_April23_CPI_data[[#This Row],[Recreation and amusement]],All_India_Index_Upto_April23_CPI_data[[#This Row],[Pan, tobacco and intoxicants]])</f>
        <v>154.39999999999998</v>
      </c>
      <c r="AF244" s="2">
        <f>AVERAGE(All_India_Index_Upto_April23_CPI_data[[#This Row],[Household goods and services]],All_India_Index_Upto_April23_CPI_data[[#This Row],[Housing]])</f>
        <v>149</v>
      </c>
      <c r="AG244" s="2">
        <f>AVERAGE(All_India_Index_Upto_April23_CPI_data[[#This Row],[Personal care and effects]],All_India_Index_Upto_April23_CPI_data[[#This Row],[Health]])</f>
        <v>144.69999999999999</v>
      </c>
      <c r="AH244" s="2">
        <f>AVERAGE(All_India_Index_Upto_April23_CPI_data[[#This Row],[Clothing]:[Clothing and footwear]])</f>
        <v>146.13333333333335</v>
      </c>
      <c r="AI244" s="2">
        <v>147.19999999999999</v>
      </c>
      <c r="AJ244" s="1">
        <f>(All_India_Index_Upto_April23_CPI_data[[#This Row],[General index]]-AI241)/AI241</f>
        <v>9.6021947873798155E-3</v>
      </c>
    </row>
    <row r="245" spans="1:36" x14ac:dyDescent="0.25">
      <c r="A245" t="s">
        <v>30</v>
      </c>
      <c r="B245">
        <v>2019</v>
      </c>
      <c r="C245" t="s">
        <v>43</v>
      </c>
      <c r="D245" s="2">
        <v>141.80000000000001</v>
      </c>
      <c r="E245" s="2">
        <v>163.69999999999999</v>
      </c>
      <c r="F245" s="2">
        <v>143.80000000000001</v>
      </c>
      <c r="G245" s="2">
        <v>147.1</v>
      </c>
      <c r="H245" s="2">
        <v>126</v>
      </c>
      <c r="I245" s="2">
        <v>146.19999999999999</v>
      </c>
      <c r="J245" s="2">
        <v>191.4</v>
      </c>
      <c r="K245" s="2">
        <v>136.19999999999999</v>
      </c>
      <c r="L245" s="2">
        <v>113.8</v>
      </c>
      <c r="M245" s="2">
        <v>147.30000000000001</v>
      </c>
      <c r="N245" s="2">
        <v>138.69999999999999</v>
      </c>
      <c r="O245" s="2">
        <v>157.69999999999999</v>
      </c>
      <c r="P245" s="2">
        <v>150.9</v>
      </c>
      <c r="Q245" s="2">
        <v>167.2</v>
      </c>
      <c r="R245" s="2">
        <v>152.30000000000001</v>
      </c>
      <c r="S245" s="2">
        <v>147</v>
      </c>
      <c r="T245" s="2">
        <v>151.5</v>
      </c>
      <c r="U245" s="2">
        <v>0</v>
      </c>
      <c r="V245" s="2">
        <v>148.4</v>
      </c>
      <c r="W245" s="2">
        <v>150.9</v>
      </c>
      <c r="X245" s="2">
        <v>154.30000000000001</v>
      </c>
      <c r="Y245" s="2">
        <v>132.1</v>
      </c>
      <c r="Z245" s="2">
        <v>149.1</v>
      </c>
      <c r="AA245" s="2">
        <v>160.80000000000001</v>
      </c>
      <c r="AB245" s="2">
        <v>140.6</v>
      </c>
      <c r="AC245" s="2">
        <v>146.1</v>
      </c>
      <c r="AD245" s="2">
        <f>AVERAGE(All_India_Index_Upto_April23_CPI_data[[#This Row],[Cereals and products]:[Food and beverages]])</f>
        <v>146.50769230769231</v>
      </c>
      <c r="AE245" s="2">
        <f>AVERAGE(All_India_Index_Upto_April23_CPI_data[[#This Row],[Recreation and amusement]],All_India_Index_Upto_April23_CPI_data[[#This Row],[Pan, tobacco and intoxicants]])</f>
        <v>158.14999999999998</v>
      </c>
      <c r="AF245" s="2">
        <f>AVERAGE(All_India_Index_Upto_April23_CPI_data[[#This Row],[Household goods and services]],All_India_Index_Upto_April23_CPI_data[[#This Row],[Housing]])</f>
        <v>75.45</v>
      </c>
      <c r="AG245" s="2">
        <f>AVERAGE(All_India_Index_Upto_April23_CPI_data[[#This Row],[Personal care and effects]],All_India_Index_Upto_April23_CPI_data[[#This Row],[Health]])</f>
        <v>147.44999999999999</v>
      </c>
      <c r="AH245" s="2">
        <f>AVERAGE(All_India_Index_Upto_April23_CPI_data[[#This Row],[Clothing]:[Clothing and footwear]])</f>
        <v>150.26666666666668</v>
      </c>
      <c r="AI245" s="2">
        <v>149.9</v>
      </c>
      <c r="AJ245" s="1">
        <f>(All_India_Index_Upto_April23_CPI_data[[#This Row],[General index]]-AI242)/AI242</f>
        <v>1.0788941335131452E-2</v>
      </c>
    </row>
    <row r="246" spans="1:36" x14ac:dyDescent="0.25">
      <c r="A246" t="s">
        <v>32</v>
      </c>
      <c r="B246">
        <v>2019</v>
      </c>
      <c r="C246" t="s">
        <v>43</v>
      </c>
      <c r="D246" s="2">
        <v>144.1</v>
      </c>
      <c r="E246" s="2">
        <v>162.4</v>
      </c>
      <c r="F246" s="2">
        <v>148.4</v>
      </c>
      <c r="G246" s="2">
        <v>145.9</v>
      </c>
      <c r="H246" s="2">
        <v>121.5</v>
      </c>
      <c r="I246" s="2">
        <v>148.80000000000001</v>
      </c>
      <c r="J246" s="2">
        <v>215.7</v>
      </c>
      <c r="K246" s="2">
        <v>134.6</v>
      </c>
      <c r="L246" s="2">
        <v>115</v>
      </c>
      <c r="M246" s="2">
        <v>146.30000000000001</v>
      </c>
      <c r="N246" s="2">
        <v>130.5</v>
      </c>
      <c r="O246" s="2">
        <v>157.19999999999999</v>
      </c>
      <c r="P246" s="2">
        <v>153.6</v>
      </c>
      <c r="Q246" s="2">
        <v>169.9</v>
      </c>
      <c r="R246" s="2">
        <v>146.30000000000001</v>
      </c>
      <c r="S246" s="2">
        <v>132.6</v>
      </c>
      <c r="T246" s="2">
        <v>144.19999999999999</v>
      </c>
      <c r="U246" s="2">
        <v>153.5</v>
      </c>
      <c r="V246" s="2">
        <v>132.19999999999999</v>
      </c>
      <c r="W246" s="2">
        <v>139.1</v>
      </c>
      <c r="X246" s="2">
        <v>142.80000000000001</v>
      </c>
      <c r="Y246" s="2">
        <v>121.7</v>
      </c>
      <c r="Z246" s="2">
        <v>136.69999999999999</v>
      </c>
      <c r="AA246" s="2">
        <v>151.80000000000001</v>
      </c>
      <c r="AB246" s="2">
        <v>139.80000000000001</v>
      </c>
      <c r="AC246" s="2">
        <v>136.30000000000001</v>
      </c>
      <c r="AD246" s="2">
        <f>AVERAGE(All_India_Index_Upto_April23_CPI_data[[#This Row],[Cereals and products]:[Food and beverages]])</f>
        <v>147.99999999999997</v>
      </c>
      <c r="AE246" s="2">
        <f>AVERAGE(All_India_Index_Upto_April23_CPI_data[[#This Row],[Recreation and amusement]],All_India_Index_Upto_April23_CPI_data[[#This Row],[Pan, tobacco and intoxicants]])</f>
        <v>153.30000000000001</v>
      </c>
      <c r="AF246" s="2">
        <f>AVERAGE(All_India_Index_Upto_April23_CPI_data[[#This Row],[Household goods and services]],All_India_Index_Upto_April23_CPI_data[[#This Row],[Housing]])</f>
        <v>146.30000000000001</v>
      </c>
      <c r="AG246" s="2">
        <f>AVERAGE(All_India_Index_Upto_April23_CPI_data[[#This Row],[Personal care and effects]],All_India_Index_Upto_April23_CPI_data[[#This Row],[Health]])</f>
        <v>141.30000000000001</v>
      </c>
      <c r="AH246" s="2">
        <f>AVERAGE(All_India_Index_Upto_April23_CPI_data[[#This Row],[Clothing]:[Clothing and footwear]])</f>
        <v>141.03333333333333</v>
      </c>
      <c r="AI246" s="2">
        <v>147</v>
      </c>
      <c r="AJ246" s="1">
        <f>(All_India_Index_Upto_April23_CPI_data[[#This Row],[General index]]-AI243)/AI243</f>
        <v>6.8493150684931503E-3</v>
      </c>
    </row>
    <row r="247" spans="1:36" x14ac:dyDescent="0.25">
      <c r="A247" t="s">
        <v>33</v>
      </c>
      <c r="B247">
        <v>2019</v>
      </c>
      <c r="C247" t="s">
        <v>43</v>
      </c>
      <c r="D247" s="2">
        <v>142.5</v>
      </c>
      <c r="E247" s="2">
        <v>163.19999999999999</v>
      </c>
      <c r="F247" s="2">
        <v>145.6</v>
      </c>
      <c r="G247" s="2">
        <v>146.69999999999999</v>
      </c>
      <c r="H247" s="2">
        <v>124.3</v>
      </c>
      <c r="I247" s="2">
        <v>147.4</v>
      </c>
      <c r="J247" s="2">
        <v>199.6</v>
      </c>
      <c r="K247" s="2">
        <v>135.69999999999999</v>
      </c>
      <c r="L247" s="2">
        <v>114.2</v>
      </c>
      <c r="M247" s="2">
        <v>147</v>
      </c>
      <c r="N247" s="2">
        <v>135.30000000000001</v>
      </c>
      <c r="O247" s="2">
        <v>157.5</v>
      </c>
      <c r="P247" s="2">
        <v>151.9</v>
      </c>
      <c r="Q247" s="2">
        <v>167.9</v>
      </c>
      <c r="R247" s="2">
        <v>149.9</v>
      </c>
      <c r="S247" s="2">
        <v>141</v>
      </c>
      <c r="T247" s="2">
        <v>148.6</v>
      </c>
      <c r="U247" s="2">
        <v>153.5</v>
      </c>
      <c r="V247" s="2">
        <v>142.30000000000001</v>
      </c>
      <c r="W247" s="2">
        <v>145.30000000000001</v>
      </c>
      <c r="X247" s="2">
        <v>149.9</v>
      </c>
      <c r="Y247" s="2">
        <v>126.6</v>
      </c>
      <c r="Z247" s="2">
        <v>142.1</v>
      </c>
      <c r="AA247" s="2">
        <v>155.5</v>
      </c>
      <c r="AB247" s="2">
        <v>140.30000000000001</v>
      </c>
      <c r="AC247" s="2">
        <v>141.30000000000001</v>
      </c>
      <c r="AD247" s="2">
        <f>AVERAGE(All_India_Index_Upto_April23_CPI_data[[#This Row],[Cereals and products]:[Food and beverages]])</f>
        <v>146.99230769230769</v>
      </c>
      <c r="AE247" s="2">
        <f>AVERAGE(All_India_Index_Upto_April23_CPI_data[[#This Row],[Recreation and amusement]],All_India_Index_Upto_April23_CPI_data[[#This Row],[Pan, tobacco and intoxicants]])</f>
        <v>155</v>
      </c>
      <c r="AF247" s="2">
        <f>AVERAGE(All_India_Index_Upto_April23_CPI_data[[#This Row],[Household goods and services]],All_India_Index_Upto_April23_CPI_data[[#This Row],[Housing]])</f>
        <v>149.4</v>
      </c>
      <c r="AG247" s="2">
        <f>AVERAGE(All_India_Index_Upto_April23_CPI_data[[#This Row],[Personal care and effects]],All_India_Index_Upto_April23_CPI_data[[#This Row],[Health]])</f>
        <v>145.10000000000002</v>
      </c>
      <c r="AH247" s="2">
        <f>AVERAGE(All_India_Index_Upto_April23_CPI_data[[#This Row],[Clothing]:[Clothing and footwear]])</f>
        <v>146.5</v>
      </c>
      <c r="AI247" s="2">
        <v>148.6</v>
      </c>
      <c r="AJ247" s="1">
        <f>(All_India_Index_Upto_April23_CPI_data[[#This Row],[General index]]-AI244)/AI244</f>
        <v>9.5108695652174301E-3</v>
      </c>
    </row>
    <row r="248" spans="1:36" x14ac:dyDescent="0.25">
      <c r="A248" t="s">
        <v>30</v>
      </c>
      <c r="B248">
        <v>2019</v>
      </c>
      <c r="C248" t="s">
        <v>44</v>
      </c>
      <c r="D248" s="2">
        <v>142.80000000000001</v>
      </c>
      <c r="E248" s="2">
        <v>165.3</v>
      </c>
      <c r="F248" s="2">
        <v>149.5</v>
      </c>
      <c r="G248" s="2">
        <v>148.69999999999999</v>
      </c>
      <c r="H248" s="2">
        <v>127.5</v>
      </c>
      <c r="I248" s="2">
        <v>144.30000000000001</v>
      </c>
      <c r="J248" s="2">
        <v>209.5</v>
      </c>
      <c r="K248" s="2">
        <v>138.80000000000001</v>
      </c>
      <c r="L248" s="2">
        <v>113.6</v>
      </c>
      <c r="M248" s="2">
        <v>149.1</v>
      </c>
      <c r="N248" s="2">
        <v>139.30000000000001</v>
      </c>
      <c r="O248" s="2">
        <v>158.30000000000001</v>
      </c>
      <c r="P248" s="2">
        <v>154.30000000000001</v>
      </c>
      <c r="Q248" s="2">
        <v>167.8</v>
      </c>
      <c r="R248" s="2">
        <v>152.6</v>
      </c>
      <c r="S248" s="2">
        <v>147.30000000000001</v>
      </c>
      <c r="T248" s="2">
        <v>151.9</v>
      </c>
      <c r="U248" s="2">
        <v>0</v>
      </c>
      <c r="V248" s="2">
        <v>149.9</v>
      </c>
      <c r="W248" s="2">
        <v>151.19999999999999</v>
      </c>
      <c r="X248" s="2">
        <v>154.80000000000001</v>
      </c>
      <c r="Y248" s="2">
        <v>135</v>
      </c>
      <c r="Z248" s="2">
        <v>149.5</v>
      </c>
      <c r="AA248" s="2">
        <v>161.1</v>
      </c>
      <c r="AB248" s="2">
        <v>140.6</v>
      </c>
      <c r="AC248" s="2">
        <v>147.1</v>
      </c>
      <c r="AD248" s="2">
        <f>AVERAGE(All_India_Index_Upto_April23_CPI_data[[#This Row],[Cereals and products]:[Food and beverages]])</f>
        <v>149.30769230769226</v>
      </c>
      <c r="AE248" s="2">
        <f>AVERAGE(All_India_Index_Upto_April23_CPI_data[[#This Row],[Recreation and amusement]],All_India_Index_Upto_April23_CPI_data[[#This Row],[Pan, tobacco and intoxicants]])</f>
        <v>158.65</v>
      </c>
      <c r="AF248" s="2">
        <f>AVERAGE(All_India_Index_Upto_April23_CPI_data[[#This Row],[Household goods and services]],All_India_Index_Upto_April23_CPI_data[[#This Row],[Housing]])</f>
        <v>75.599999999999994</v>
      </c>
      <c r="AG248" s="2">
        <f>AVERAGE(All_India_Index_Upto_April23_CPI_data[[#This Row],[Personal care and effects]],All_India_Index_Upto_April23_CPI_data[[#This Row],[Health]])</f>
        <v>147.69999999999999</v>
      </c>
      <c r="AH248" s="2">
        <f>AVERAGE(All_India_Index_Upto_April23_CPI_data[[#This Row],[Clothing]:[Clothing and footwear]])</f>
        <v>150.6</v>
      </c>
      <c r="AI248" s="2">
        <v>152.30000000000001</v>
      </c>
      <c r="AJ248" s="1">
        <f>(All_India_Index_Upto_April23_CPI_data[[#This Row],[General index]]-AI245)/AI245</f>
        <v>1.6010673782521717E-2</v>
      </c>
    </row>
    <row r="249" spans="1:36" x14ac:dyDescent="0.25">
      <c r="A249" t="s">
        <v>32</v>
      </c>
      <c r="B249">
        <v>2019</v>
      </c>
      <c r="C249" t="s">
        <v>44</v>
      </c>
      <c r="D249" s="2">
        <v>144.9</v>
      </c>
      <c r="E249" s="2">
        <v>164.5</v>
      </c>
      <c r="F249" s="2">
        <v>153.69999999999999</v>
      </c>
      <c r="G249" s="2">
        <v>147.5</v>
      </c>
      <c r="H249" s="2">
        <v>122.7</v>
      </c>
      <c r="I249" s="2">
        <v>147.19999999999999</v>
      </c>
      <c r="J249" s="2">
        <v>231.5</v>
      </c>
      <c r="K249" s="2">
        <v>137.19999999999999</v>
      </c>
      <c r="L249" s="2">
        <v>114.7</v>
      </c>
      <c r="M249" s="2">
        <v>148</v>
      </c>
      <c r="N249" s="2">
        <v>130.80000000000001</v>
      </c>
      <c r="O249" s="2">
        <v>157.69999999999999</v>
      </c>
      <c r="P249" s="2">
        <v>156.30000000000001</v>
      </c>
      <c r="Q249" s="2">
        <v>170.4</v>
      </c>
      <c r="R249" s="2">
        <v>146.80000000000001</v>
      </c>
      <c r="S249" s="2">
        <v>132.80000000000001</v>
      </c>
      <c r="T249" s="2">
        <v>144.6</v>
      </c>
      <c r="U249" s="2">
        <v>152.80000000000001</v>
      </c>
      <c r="V249" s="2">
        <v>133.6</v>
      </c>
      <c r="W249" s="2">
        <v>139.80000000000001</v>
      </c>
      <c r="X249" s="2">
        <v>143.19999999999999</v>
      </c>
      <c r="Y249" s="2">
        <v>125.2</v>
      </c>
      <c r="Z249" s="2">
        <v>136.80000000000001</v>
      </c>
      <c r="AA249" s="2">
        <v>151.9</v>
      </c>
      <c r="AB249" s="2">
        <v>140.19999999999999</v>
      </c>
      <c r="AC249" s="2">
        <v>137.69999999999999</v>
      </c>
      <c r="AD249" s="2">
        <f>AVERAGE(All_India_Index_Upto_April23_CPI_data[[#This Row],[Cereals and products]:[Food and beverages]])</f>
        <v>150.51538461538462</v>
      </c>
      <c r="AE249" s="2">
        <f>AVERAGE(All_India_Index_Upto_April23_CPI_data[[#This Row],[Recreation and amusement]],All_India_Index_Upto_April23_CPI_data[[#This Row],[Pan, tobacco and intoxicants]])</f>
        <v>153.60000000000002</v>
      </c>
      <c r="AF249" s="2">
        <f>AVERAGE(All_India_Index_Upto_April23_CPI_data[[#This Row],[Household goods and services]],All_India_Index_Upto_April23_CPI_data[[#This Row],[Housing]])</f>
        <v>146.30000000000001</v>
      </c>
      <c r="AG249" s="2">
        <f>AVERAGE(All_India_Index_Upto_April23_CPI_data[[#This Row],[Personal care and effects]],All_India_Index_Upto_April23_CPI_data[[#This Row],[Health]])</f>
        <v>141.69999999999999</v>
      </c>
      <c r="AH249" s="2">
        <f>AVERAGE(All_India_Index_Upto_April23_CPI_data[[#This Row],[Clothing]:[Clothing and footwear]])</f>
        <v>141.4</v>
      </c>
      <c r="AI249" s="2">
        <v>148.30000000000001</v>
      </c>
      <c r="AJ249" s="1">
        <f>(All_India_Index_Upto_April23_CPI_data[[#This Row],[General index]]-AI246)/AI246</f>
        <v>8.8435374149660635E-3</v>
      </c>
    </row>
    <row r="250" spans="1:36" x14ac:dyDescent="0.25">
      <c r="A250" t="s">
        <v>33</v>
      </c>
      <c r="B250">
        <v>2019</v>
      </c>
      <c r="C250" t="s">
        <v>44</v>
      </c>
      <c r="D250" s="2">
        <v>143.5</v>
      </c>
      <c r="E250" s="2">
        <v>165</v>
      </c>
      <c r="F250" s="2">
        <v>151.1</v>
      </c>
      <c r="G250" s="2">
        <v>148.30000000000001</v>
      </c>
      <c r="H250" s="2">
        <v>125.7</v>
      </c>
      <c r="I250" s="2">
        <v>145.69999999999999</v>
      </c>
      <c r="J250" s="2">
        <v>217</v>
      </c>
      <c r="K250" s="2">
        <v>138.30000000000001</v>
      </c>
      <c r="L250" s="2">
        <v>114</v>
      </c>
      <c r="M250" s="2">
        <v>148.69999999999999</v>
      </c>
      <c r="N250" s="2">
        <v>135.80000000000001</v>
      </c>
      <c r="O250" s="2">
        <v>158</v>
      </c>
      <c r="P250" s="2">
        <v>155</v>
      </c>
      <c r="Q250" s="2">
        <v>168.5</v>
      </c>
      <c r="R250" s="2">
        <v>150.30000000000001</v>
      </c>
      <c r="S250" s="2">
        <v>141.30000000000001</v>
      </c>
      <c r="T250" s="2">
        <v>149</v>
      </c>
      <c r="U250" s="2">
        <v>152.80000000000001</v>
      </c>
      <c r="V250" s="2">
        <v>143.69999999999999</v>
      </c>
      <c r="W250" s="2">
        <v>145.80000000000001</v>
      </c>
      <c r="X250" s="2">
        <v>150.4</v>
      </c>
      <c r="Y250" s="2">
        <v>129.80000000000001</v>
      </c>
      <c r="Z250" s="2">
        <v>142.30000000000001</v>
      </c>
      <c r="AA250" s="2">
        <v>155.69999999999999</v>
      </c>
      <c r="AB250" s="2">
        <v>140.4</v>
      </c>
      <c r="AC250" s="2">
        <v>142.5</v>
      </c>
      <c r="AD250" s="2">
        <f>AVERAGE(All_India_Index_Upto_April23_CPI_data[[#This Row],[Cereals and products]:[Food and beverages]])</f>
        <v>149.70000000000002</v>
      </c>
      <c r="AE250" s="2">
        <f>AVERAGE(All_India_Index_Upto_April23_CPI_data[[#This Row],[Recreation and amusement]],All_India_Index_Upto_April23_CPI_data[[#This Row],[Pan, tobacco and intoxicants]])</f>
        <v>155.4</v>
      </c>
      <c r="AF250" s="2">
        <f>AVERAGE(All_India_Index_Upto_April23_CPI_data[[#This Row],[Household goods and services]],All_India_Index_Upto_April23_CPI_data[[#This Row],[Housing]])</f>
        <v>149.30000000000001</v>
      </c>
      <c r="AG250" s="2">
        <f>AVERAGE(All_India_Index_Upto_April23_CPI_data[[#This Row],[Personal care and effects]],All_India_Index_Upto_April23_CPI_data[[#This Row],[Health]])</f>
        <v>145.4</v>
      </c>
      <c r="AH250" s="2">
        <f>AVERAGE(All_India_Index_Upto_April23_CPI_data[[#This Row],[Clothing]:[Clothing and footwear]])</f>
        <v>146.86666666666667</v>
      </c>
      <c r="AI250" s="2">
        <v>150.4</v>
      </c>
      <c r="AJ250" s="1">
        <f>(All_India_Index_Upto_April23_CPI_data[[#This Row],[General index]]-AI247)/AI247</f>
        <v>1.2113055181695904E-2</v>
      </c>
    </row>
    <row r="251" spans="1:36" x14ac:dyDescent="0.25">
      <c r="A251" t="s">
        <v>30</v>
      </c>
      <c r="B251">
        <v>2020</v>
      </c>
      <c r="C251" t="s">
        <v>31</v>
      </c>
      <c r="D251" s="2">
        <v>143.69999999999999</v>
      </c>
      <c r="E251" s="2">
        <v>167.3</v>
      </c>
      <c r="F251" s="2">
        <v>153.5</v>
      </c>
      <c r="G251" s="2">
        <v>150.5</v>
      </c>
      <c r="H251" s="2">
        <v>132</v>
      </c>
      <c r="I251" s="2">
        <v>142.19999999999999</v>
      </c>
      <c r="J251" s="2">
        <v>191.5</v>
      </c>
      <c r="K251" s="2">
        <v>141.1</v>
      </c>
      <c r="L251" s="2">
        <v>113.8</v>
      </c>
      <c r="M251" s="2">
        <v>151.6</v>
      </c>
      <c r="N251" s="2">
        <v>139.69999999999999</v>
      </c>
      <c r="O251" s="2">
        <v>158.69999999999999</v>
      </c>
      <c r="P251" s="2">
        <v>153</v>
      </c>
      <c r="Q251" s="2">
        <v>168.6</v>
      </c>
      <c r="R251" s="2">
        <v>152.80000000000001</v>
      </c>
      <c r="S251" s="2">
        <v>147.4</v>
      </c>
      <c r="T251" s="2">
        <v>152.1</v>
      </c>
      <c r="U251" s="2">
        <v>0</v>
      </c>
      <c r="V251" s="2">
        <v>150.4</v>
      </c>
      <c r="W251" s="2">
        <v>151.69999999999999</v>
      </c>
      <c r="X251" s="2">
        <v>155.69999999999999</v>
      </c>
      <c r="Y251" s="2">
        <v>136.30000000000001</v>
      </c>
      <c r="Z251" s="2">
        <v>150.1</v>
      </c>
      <c r="AA251" s="2">
        <v>161.69999999999999</v>
      </c>
      <c r="AB251" s="2">
        <v>142.5</v>
      </c>
      <c r="AC251" s="2">
        <v>148.1</v>
      </c>
      <c r="AD251" s="2">
        <f>AVERAGE(All_India_Index_Upto_April23_CPI_data[[#This Row],[Cereals and products]:[Food and beverages]])</f>
        <v>149.12307692307692</v>
      </c>
      <c r="AE251" s="2">
        <f>AVERAGE(All_India_Index_Upto_April23_CPI_data[[#This Row],[Recreation and amusement]],All_India_Index_Upto_April23_CPI_data[[#This Row],[Pan, tobacco and intoxicants]])</f>
        <v>159.35</v>
      </c>
      <c r="AF251" s="2">
        <f>AVERAGE(All_India_Index_Upto_April23_CPI_data[[#This Row],[Household goods and services]],All_India_Index_Upto_April23_CPI_data[[#This Row],[Housing]])</f>
        <v>75.849999999999994</v>
      </c>
      <c r="AG251" s="2">
        <f>AVERAGE(All_India_Index_Upto_April23_CPI_data[[#This Row],[Personal care and effects]],All_India_Index_Upto_April23_CPI_data[[#This Row],[Health]])</f>
        <v>149.1</v>
      </c>
      <c r="AH251" s="2">
        <f>AVERAGE(All_India_Index_Upto_April23_CPI_data[[#This Row],[Clothing]:[Clothing and footwear]])</f>
        <v>150.76666666666668</v>
      </c>
      <c r="AI251" s="2">
        <v>151.9</v>
      </c>
      <c r="AJ251" s="1">
        <f>(All_India_Index_Upto_April23_CPI_data[[#This Row],[General index]]-AI248)/AI248</f>
        <v>-2.6263952724885466E-3</v>
      </c>
    </row>
    <row r="252" spans="1:36" x14ac:dyDescent="0.25">
      <c r="A252" t="s">
        <v>32</v>
      </c>
      <c r="B252">
        <v>2020</v>
      </c>
      <c r="C252" t="s">
        <v>31</v>
      </c>
      <c r="D252" s="2">
        <v>145.6</v>
      </c>
      <c r="E252" s="2">
        <v>167.6</v>
      </c>
      <c r="F252" s="2">
        <v>157</v>
      </c>
      <c r="G252" s="2">
        <v>149.30000000000001</v>
      </c>
      <c r="H252" s="2">
        <v>126.3</v>
      </c>
      <c r="I252" s="2">
        <v>144.4</v>
      </c>
      <c r="J252" s="2">
        <v>207.8</v>
      </c>
      <c r="K252" s="2">
        <v>139.1</v>
      </c>
      <c r="L252" s="2">
        <v>114.8</v>
      </c>
      <c r="M252" s="2">
        <v>149.5</v>
      </c>
      <c r="N252" s="2">
        <v>131.1</v>
      </c>
      <c r="O252" s="2">
        <v>158.5</v>
      </c>
      <c r="P252" s="2">
        <v>154.4</v>
      </c>
      <c r="Q252" s="2">
        <v>170.8</v>
      </c>
      <c r="R252" s="2">
        <v>147</v>
      </c>
      <c r="S252" s="2">
        <v>133.19999999999999</v>
      </c>
      <c r="T252" s="2">
        <v>144.9</v>
      </c>
      <c r="U252" s="2">
        <v>153.9</v>
      </c>
      <c r="V252" s="2">
        <v>135.1</v>
      </c>
      <c r="W252" s="2">
        <v>140.1</v>
      </c>
      <c r="X252" s="2">
        <v>143.80000000000001</v>
      </c>
      <c r="Y252" s="2">
        <v>126.1</v>
      </c>
      <c r="Z252" s="2">
        <v>137.19999999999999</v>
      </c>
      <c r="AA252" s="2">
        <v>152.1</v>
      </c>
      <c r="AB252" s="2">
        <v>142.1</v>
      </c>
      <c r="AC252" s="2">
        <v>138.4</v>
      </c>
      <c r="AD252" s="2">
        <f>AVERAGE(All_India_Index_Upto_April23_CPI_data[[#This Row],[Cereals and products]:[Food and beverages]])</f>
        <v>149.64615384615382</v>
      </c>
      <c r="AE252" s="2">
        <f>AVERAGE(All_India_Index_Upto_April23_CPI_data[[#This Row],[Recreation and amusement]],All_India_Index_Upto_April23_CPI_data[[#This Row],[Pan, tobacco and intoxicants]])</f>
        <v>154</v>
      </c>
      <c r="AF252" s="2">
        <f>AVERAGE(All_India_Index_Upto_April23_CPI_data[[#This Row],[Household goods and services]],All_India_Index_Upto_April23_CPI_data[[#This Row],[Housing]])</f>
        <v>147</v>
      </c>
      <c r="AG252" s="2">
        <f>AVERAGE(All_India_Index_Upto_April23_CPI_data[[#This Row],[Personal care and effects]],All_India_Index_Upto_April23_CPI_data[[#This Row],[Health]])</f>
        <v>142.94999999999999</v>
      </c>
      <c r="AH252" s="2">
        <f>AVERAGE(All_India_Index_Upto_April23_CPI_data[[#This Row],[Clothing]:[Clothing and footwear]])</f>
        <v>141.70000000000002</v>
      </c>
      <c r="AI252" s="2">
        <v>148.19999999999999</v>
      </c>
      <c r="AJ252" s="1">
        <f>(All_India_Index_Upto_April23_CPI_data[[#This Row],[General index]]-AI249)/AI249</f>
        <v>-6.7430883344587144E-4</v>
      </c>
    </row>
    <row r="253" spans="1:36" x14ac:dyDescent="0.25">
      <c r="A253" t="s">
        <v>33</v>
      </c>
      <c r="B253">
        <v>2020</v>
      </c>
      <c r="C253" t="s">
        <v>31</v>
      </c>
      <c r="D253" s="2">
        <v>144.30000000000001</v>
      </c>
      <c r="E253" s="2">
        <v>167.4</v>
      </c>
      <c r="F253" s="2">
        <v>154.9</v>
      </c>
      <c r="G253" s="2">
        <v>150.1</v>
      </c>
      <c r="H253" s="2">
        <v>129.9</v>
      </c>
      <c r="I253" s="2">
        <v>143.19999999999999</v>
      </c>
      <c r="J253" s="2">
        <v>197</v>
      </c>
      <c r="K253" s="2">
        <v>140.4</v>
      </c>
      <c r="L253" s="2">
        <v>114.1</v>
      </c>
      <c r="M253" s="2">
        <v>150.9</v>
      </c>
      <c r="N253" s="2">
        <v>136.1</v>
      </c>
      <c r="O253" s="2">
        <v>158.6</v>
      </c>
      <c r="P253" s="2">
        <v>153.5</v>
      </c>
      <c r="Q253" s="2">
        <v>169.2</v>
      </c>
      <c r="R253" s="2">
        <v>150.5</v>
      </c>
      <c r="S253" s="2">
        <v>141.5</v>
      </c>
      <c r="T253" s="2">
        <v>149.19999999999999</v>
      </c>
      <c r="U253" s="2">
        <v>153.9</v>
      </c>
      <c r="V253" s="2">
        <v>144.6</v>
      </c>
      <c r="W253" s="2">
        <v>146.19999999999999</v>
      </c>
      <c r="X253" s="2">
        <v>151.19999999999999</v>
      </c>
      <c r="Y253" s="2">
        <v>130.9</v>
      </c>
      <c r="Z253" s="2">
        <v>142.80000000000001</v>
      </c>
      <c r="AA253" s="2">
        <v>156.1</v>
      </c>
      <c r="AB253" s="2">
        <v>142.30000000000001</v>
      </c>
      <c r="AC253" s="2">
        <v>143.4</v>
      </c>
      <c r="AD253" s="2">
        <f>AVERAGE(All_India_Index_Upto_April23_CPI_data[[#This Row],[Cereals and products]:[Food and beverages]])</f>
        <v>149.26153846153846</v>
      </c>
      <c r="AE253" s="2">
        <f>AVERAGE(All_India_Index_Upto_April23_CPI_data[[#This Row],[Recreation and amusement]],All_India_Index_Upto_April23_CPI_data[[#This Row],[Pan, tobacco and intoxicants]])</f>
        <v>156</v>
      </c>
      <c r="AF253" s="2">
        <f>AVERAGE(All_India_Index_Upto_April23_CPI_data[[#This Row],[Household goods and services]],All_India_Index_Upto_April23_CPI_data[[#This Row],[Housing]])</f>
        <v>150.05000000000001</v>
      </c>
      <c r="AG253" s="2">
        <f>AVERAGE(All_India_Index_Upto_April23_CPI_data[[#This Row],[Personal care and effects]],All_India_Index_Upto_April23_CPI_data[[#This Row],[Health]])</f>
        <v>146.75</v>
      </c>
      <c r="AH253" s="2">
        <f>AVERAGE(All_India_Index_Upto_April23_CPI_data[[#This Row],[Clothing]:[Clothing and footwear]])</f>
        <v>147.06666666666666</v>
      </c>
      <c r="AI253" s="2">
        <v>150.19999999999999</v>
      </c>
      <c r="AJ253" s="1">
        <f>(All_India_Index_Upto_April23_CPI_data[[#This Row],[General index]]-AI250)/AI250</f>
        <v>-1.3297872340426666E-3</v>
      </c>
    </row>
    <row r="254" spans="1:36" x14ac:dyDescent="0.25">
      <c r="A254" t="s">
        <v>30</v>
      </c>
      <c r="B254">
        <v>2020</v>
      </c>
      <c r="C254" t="s">
        <v>34</v>
      </c>
      <c r="D254" s="2">
        <v>144.19999999999999</v>
      </c>
      <c r="E254" s="2">
        <v>167.5</v>
      </c>
      <c r="F254" s="2">
        <v>150.9</v>
      </c>
      <c r="G254" s="2">
        <v>150.9</v>
      </c>
      <c r="H254" s="2">
        <v>133.69999999999999</v>
      </c>
      <c r="I254" s="2">
        <v>140.69999999999999</v>
      </c>
      <c r="J254" s="2">
        <v>165.1</v>
      </c>
      <c r="K254" s="2">
        <v>141.80000000000001</v>
      </c>
      <c r="L254" s="2">
        <v>113.1</v>
      </c>
      <c r="M254" s="2">
        <v>152.80000000000001</v>
      </c>
      <c r="N254" s="2">
        <v>140.1</v>
      </c>
      <c r="O254" s="2">
        <v>159.19999999999999</v>
      </c>
      <c r="P254" s="2">
        <v>149.80000000000001</v>
      </c>
      <c r="Q254" s="2">
        <v>169.4</v>
      </c>
      <c r="R254" s="2">
        <v>153</v>
      </c>
      <c r="S254" s="2">
        <v>147.5</v>
      </c>
      <c r="T254" s="2">
        <v>152.30000000000001</v>
      </c>
      <c r="U254" s="2">
        <v>0</v>
      </c>
      <c r="V254" s="2">
        <v>152.30000000000001</v>
      </c>
      <c r="W254" s="2">
        <v>151.80000000000001</v>
      </c>
      <c r="X254" s="2">
        <v>156.19999999999999</v>
      </c>
      <c r="Y254" s="2">
        <v>136</v>
      </c>
      <c r="Z254" s="2">
        <v>150.4</v>
      </c>
      <c r="AA254" s="2">
        <v>161.9</v>
      </c>
      <c r="AB254" s="2">
        <v>143.4</v>
      </c>
      <c r="AC254" s="2">
        <v>148.4</v>
      </c>
      <c r="AD254" s="2">
        <f>AVERAGE(All_India_Index_Upto_April23_CPI_data[[#This Row],[Cereals and products]:[Food and beverages]])</f>
        <v>146.90769230769229</v>
      </c>
      <c r="AE254" s="2">
        <f>AVERAGE(All_India_Index_Upto_April23_CPI_data[[#This Row],[Recreation and amusement]],All_India_Index_Upto_April23_CPI_data[[#This Row],[Pan, tobacco and intoxicants]])</f>
        <v>159.9</v>
      </c>
      <c r="AF254" s="2">
        <f>AVERAGE(All_India_Index_Upto_April23_CPI_data[[#This Row],[Household goods and services]],All_India_Index_Upto_April23_CPI_data[[#This Row],[Housing]])</f>
        <v>75.900000000000006</v>
      </c>
      <c r="AG254" s="2">
        <f>AVERAGE(All_India_Index_Upto_April23_CPI_data[[#This Row],[Personal care and effects]],All_India_Index_Upto_April23_CPI_data[[#This Row],[Health]])</f>
        <v>149.80000000000001</v>
      </c>
      <c r="AH254" s="2">
        <f>AVERAGE(All_India_Index_Upto_April23_CPI_data[[#This Row],[Clothing]:[Clothing and footwear]])</f>
        <v>150.93333333333334</v>
      </c>
      <c r="AI254" s="2">
        <v>150.4</v>
      </c>
      <c r="AJ254" s="1">
        <f>(All_India_Index_Upto_April23_CPI_data[[#This Row],[General index]]-AI251)/AI251</f>
        <v>-9.8749177090190904E-3</v>
      </c>
    </row>
    <row r="255" spans="1:36" x14ac:dyDescent="0.25">
      <c r="A255" t="s">
        <v>32</v>
      </c>
      <c r="B255">
        <v>2020</v>
      </c>
      <c r="C255" t="s">
        <v>34</v>
      </c>
      <c r="D255" s="2">
        <v>146.19999999999999</v>
      </c>
      <c r="E255" s="2">
        <v>167.6</v>
      </c>
      <c r="F255" s="2">
        <v>153.1</v>
      </c>
      <c r="G255" s="2">
        <v>150.69999999999999</v>
      </c>
      <c r="H255" s="2">
        <v>127.4</v>
      </c>
      <c r="I255" s="2">
        <v>143.1</v>
      </c>
      <c r="J255" s="2">
        <v>181.7</v>
      </c>
      <c r="K255" s="2">
        <v>139.6</v>
      </c>
      <c r="L255" s="2">
        <v>114.6</v>
      </c>
      <c r="M255" s="2">
        <v>150.4</v>
      </c>
      <c r="N255" s="2">
        <v>131.5</v>
      </c>
      <c r="O255" s="2">
        <v>159</v>
      </c>
      <c r="P255" s="2">
        <v>151.69999999999999</v>
      </c>
      <c r="Q255" s="2">
        <v>172</v>
      </c>
      <c r="R255" s="2">
        <v>147.30000000000001</v>
      </c>
      <c r="S255" s="2">
        <v>133.5</v>
      </c>
      <c r="T255" s="2">
        <v>145.19999999999999</v>
      </c>
      <c r="U255" s="2">
        <v>154.80000000000001</v>
      </c>
      <c r="V255" s="2">
        <v>138.9</v>
      </c>
      <c r="W255" s="2">
        <v>140.4</v>
      </c>
      <c r="X255" s="2">
        <v>144.4</v>
      </c>
      <c r="Y255" s="2">
        <v>125.2</v>
      </c>
      <c r="Z255" s="2">
        <v>137.69999999999999</v>
      </c>
      <c r="AA255" s="2">
        <v>152.19999999999999</v>
      </c>
      <c r="AB255" s="2">
        <v>143.5</v>
      </c>
      <c r="AC255" s="2">
        <v>138.4</v>
      </c>
      <c r="AD255" s="2">
        <f>AVERAGE(All_India_Index_Upto_April23_CPI_data[[#This Row],[Cereals and products]:[Food and beverages]])</f>
        <v>147.43076923076922</v>
      </c>
      <c r="AE255" s="2">
        <f>AVERAGE(All_India_Index_Upto_April23_CPI_data[[#This Row],[Recreation and amusement]],All_India_Index_Upto_April23_CPI_data[[#This Row],[Pan, tobacco and intoxicants]])</f>
        <v>154.85</v>
      </c>
      <c r="AF255" s="2">
        <f>AVERAGE(All_India_Index_Upto_April23_CPI_data[[#This Row],[Household goods and services]],All_India_Index_Upto_April23_CPI_data[[#This Row],[Housing]])</f>
        <v>147.60000000000002</v>
      </c>
      <c r="AG255" s="2">
        <f>AVERAGE(All_India_Index_Upto_April23_CPI_data[[#This Row],[Personal care and effects]],All_India_Index_Upto_April23_CPI_data[[#This Row],[Health]])</f>
        <v>143.94999999999999</v>
      </c>
      <c r="AH255" s="2">
        <f>AVERAGE(All_India_Index_Upto_April23_CPI_data[[#This Row],[Clothing]:[Clothing and footwear]])</f>
        <v>142</v>
      </c>
      <c r="AI255" s="2">
        <v>147.69999999999999</v>
      </c>
      <c r="AJ255" s="1">
        <f>(All_India_Index_Upto_April23_CPI_data[[#This Row],[General index]]-AI252)/AI252</f>
        <v>-3.3738191632928477E-3</v>
      </c>
    </row>
    <row r="256" spans="1:36" x14ac:dyDescent="0.25">
      <c r="A256" t="s">
        <v>33</v>
      </c>
      <c r="B256">
        <v>2020</v>
      </c>
      <c r="C256" t="s">
        <v>34</v>
      </c>
      <c r="D256" s="2">
        <v>144.80000000000001</v>
      </c>
      <c r="E256" s="2">
        <v>167.5</v>
      </c>
      <c r="F256" s="2">
        <v>151.80000000000001</v>
      </c>
      <c r="G256" s="2">
        <v>150.80000000000001</v>
      </c>
      <c r="H256" s="2">
        <v>131.4</v>
      </c>
      <c r="I256" s="2">
        <v>141.80000000000001</v>
      </c>
      <c r="J256" s="2">
        <v>170.7</v>
      </c>
      <c r="K256" s="2">
        <v>141.1</v>
      </c>
      <c r="L256" s="2">
        <v>113.6</v>
      </c>
      <c r="M256" s="2">
        <v>152</v>
      </c>
      <c r="N256" s="2">
        <v>136.5</v>
      </c>
      <c r="O256" s="2">
        <v>159.1</v>
      </c>
      <c r="P256" s="2">
        <v>150.5</v>
      </c>
      <c r="Q256" s="2">
        <v>170.1</v>
      </c>
      <c r="R256" s="2">
        <v>150.80000000000001</v>
      </c>
      <c r="S256" s="2">
        <v>141.69999999999999</v>
      </c>
      <c r="T256" s="2">
        <v>149.5</v>
      </c>
      <c r="U256" s="2">
        <v>154.80000000000001</v>
      </c>
      <c r="V256" s="2">
        <v>147.19999999999999</v>
      </c>
      <c r="W256" s="2">
        <v>146.4</v>
      </c>
      <c r="X256" s="2">
        <v>151.69999999999999</v>
      </c>
      <c r="Y256" s="2">
        <v>130.30000000000001</v>
      </c>
      <c r="Z256" s="2">
        <v>143.19999999999999</v>
      </c>
      <c r="AA256" s="2">
        <v>156.19999999999999</v>
      </c>
      <c r="AB256" s="2">
        <v>143.4</v>
      </c>
      <c r="AC256" s="2">
        <v>143.6</v>
      </c>
      <c r="AD256" s="2">
        <f>AVERAGE(All_India_Index_Upto_April23_CPI_data[[#This Row],[Cereals and products]:[Food and beverages]])</f>
        <v>147.04615384615383</v>
      </c>
      <c r="AE256" s="2">
        <f>AVERAGE(All_India_Index_Upto_April23_CPI_data[[#This Row],[Recreation and amusement]],All_India_Index_Upto_April23_CPI_data[[#This Row],[Pan, tobacco and intoxicants]])</f>
        <v>156.64999999999998</v>
      </c>
      <c r="AF256" s="2">
        <f>AVERAGE(All_India_Index_Upto_April23_CPI_data[[#This Row],[Household goods and services]],All_India_Index_Upto_April23_CPI_data[[#This Row],[Housing]])</f>
        <v>150.60000000000002</v>
      </c>
      <c r="AG256" s="2">
        <f>AVERAGE(All_India_Index_Upto_April23_CPI_data[[#This Row],[Personal care and effects]],All_India_Index_Upto_April23_CPI_data[[#This Row],[Health]])</f>
        <v>147.55000000000001</v>
      </c>
      <c r="AH256" s="2">
        <f>AVERAGE(All_India_Index_Upto_April23_CPI_data[[#This Row],[Clothing]:[Clothing and footwear]])</f>
        <v>147.33333333333334</v>
      </c>
      <c r="AI256" s="2">
        <v>149.1</v>
      </c>
      <c r="AJ256" s="1">
        <f>(All_India_Index_Upto_April23_CPI_data[[#This Row],[General index]]-AI253)/AI253</f>
        <v>-7.3235685752329853E-3</v>
      </c>
    </row>
    <row r="257" spans="1:36" x14ac:dyDescent="0.25">
      <c r="A257" t="s">
        <v>30</v>
      </c>
      <c r="B257">
        <v>2020</v>
      </c>
      <c r="C257" t="s">
        <v>35</v>
      </c>
      <c r="D257" s="2">
        <v>144.4</v>
      </c>
      <c r="E257" s="2">
        <v>166.8</v>
      </c>
      <c r="F257" s="2">
        <v>147.6</v>
      </c>
      <c r="G257" s="2">
        <v>151.69999999999999</v>
      </c>
      <c r="H257" s="2">
        <v>133.30000000000001</v>
      </c>
      <c r="I257" s="2">
        <v>141.80000000000001</v>
      </c>
      <c r="J257" s="2">
        <v>152.30000000000001</v>
      </c>
      <c r="K257" s="2">
        <v>141.80000000000001</v>
      </c>
      <c r="L257" s="2">
        <v>112.6</v>
      </c>
      <c r="M257" s="2">
        <v>154</v>
      </c>
      <c r="N257" s="2">
        <v>140.1</v>
      </c>
      <c r="O257" s="2">
        <v>160</v>
      </c>
      <c r="P257" s="2">
        <v>148.19999999999999</v>
      </c>
      <c r="Q257" s="2">
        <v>170.5</v>
      </c>
      <c r="R257" s="2">
        <v>153.4</v>
      </c>
      <c r="S257" s="2">
        <v>147.6</v>
      </c>
      <c r="T257" s="2">
        <v>152.5</v>
      </c>
      <c r="U257" s="2">
        <v>0</v>
      </c>
      <c r="V257" s="2">
        <v>153.4</v>
      </c>
      <c r="W257" s="2">
        <v>151.5</v>
      </c>
      <c r="X257" s="2">
        <v>156.69999999999999</v>
      </c>
      <c r="Y257" s="2">
        <v>135.80000000000001</v>
      </c>
      <c r="Z257" s="2">
        <v>151.19999999999999</v>
      </c>
      <c r="AA257" s="2">
        <v>161.19999999999999</v>
      </c>
      <c r="AB257" s="2">
        <v>145.1</v>
      </c>
      <c r="AC257" s="2">
        <v>148.6</v>
      </c>
      <c r="AD257" s="2">
        <f>AVERAGE(All_India_Index_Upto_April23_CPI_data[[#This Row],[Cereals and products]:[Food and beverages]])</f>
        <v>145.73846153846151</v>
      </c>
      <c r="AE257" s="2">
        <f>AVERAGE(All_India_Index_Upto_April23_CPI_data[[#This Row],[Recreation and amusement]],All_India_Index_Upto_April23_CPI_data[[#This Row],[Pan, tobacco and intoxicants]])</f>
        <v>160.85</v>
      </c>
      <c r="AF257" s="2">
        <f>AVERAGE(All_India_Index_Upto_April23_CPI_data[[#This Row],[Household goods and services]],All_India_Index_Upto_April23_CPI_data[[#This Row],[Housing]])</f>
        <v>75.75</v>
      </c>
      <c r="AG257" s="2">
        <f>AVERAGE(All_India_Index_Upto_April23_CPI_data[[#This Row],[Personal care and effects]],All_India_Index_Upto_April23_CPI_data[[#This Row],[Health]])</f>
        <v>150.89999999999998</v>
      </c>
      <c r="AH257" s="2">
        <f>AVERAGE(All_India_Index_Upto_April23_CPI_data[[#This Row],[Clothing]:[Clothing and footwear]])</f>
        <v>151.16666666666666</v>
      </c>
      <c r="AI257" s="2">
        <v>149.80000000000001</v>
      </c>
      <c r="AJ257" s="1">
        <f>(All_India_Index_Upto_April23_CPI_data[[#This Row],[General index]]-AI254)/AI254</f>
        <v>-3.989361702127622E-3</v>
      </c>
    </row>
    <row r="258" spans="1:36" x14ac:dyDescent="0.25">
      <c r="A258" t="s">
        <v>32</v>
      </c>
      <c r="B258">
        <v>2020</v>
      </c>
      <c r="C258" t="s">
        <v>35</v>
      </c>
      <c r="D258" s="2">
        <v>146.5</v>
      </c>
      <c r="E258" s="2">
        <v>167.5</v>
      </c>
      <c r="F258" s="2">
        <v>148.9</v>
      </c>
      <c r="G258" s="2">
        <v>151.1</v>
      </c>
      <c r="H258" s="2">
        <v>127.5</v>
      </c>
      <c r="I258" s="2">
        <v>143.30000000000001</v>
      </c>
      <c r="J258" s="2">
        <v>167</v>
      </c>
      <c r="K258" s="2">
        <v>139.69999999999999</v>
      </c>
      <c r="L258" s="2">
        <v>114.4</v>
      </c>
      <c r="M258" s="2">
        <v>151.5</v>
      </c>
      <c r="N258" s="2">
        <v>131.9</v>
      </c>
      <c r="O258" s="2">
        <v>159.1</v>
      </c>
      <c r="P258" s="2">
        <v>150.1</v>
      </c>
      <c r="Q258" s="2">
        <v>173.3</v>
      </c>
      <c r="R258" s="2">
        <v>147.69999999999999</v>
      </c>
      <c r="S258" s="2">
        <v>133.80000000000001</v>
      </c>
      <c r="T258" s="2">
        <v>145.6</v>
      </c>
      <c r="U258" s="2">
        <v>154.5</v>
      </c>
      <c r="V258" s="2">
        <v>141.4</v>
      </c>
      <c r="W258" s="2">
        <v>140.80000000000001</v>
      </c>
      <c r="X258" s="2">
        <v>145</v>
      </c>
      <c r="Y258" s="2">
        <v>124.6</v>
      </c>
      <c r="Z258" s="2">
        <v>137.9</v>
      </c>
      <c r="AA258" s="2">
        <v>152.5</v>
      </c>
      <c r="AB258" s="2">
        <v>145.30000000000001</v>
      </c>
      <c r="AC258" s="2">
        <v>138.69999999999999</v>
      </c>
      <c r="AD258" s="2">
        <f>AVERAGE(All_India_Index_Upto_April23_CPI_data[[#This Row],[Cereals and products]:[Food and beverages]])</f>
        <v>146.03846153846155</v>
      </c>
      <c r="AE258" s="2">
        <f>AVERAGE(All_India_Index_Upto_April23_CPI_data[[#This Row],[Recreation and amusement]],All_India_Index_Upto_April23_CPI_data[[#This Row],[Pan, tobacco and intoxicants]])</f>
        <v>155.60000000000002</v>
      </c>
      <c r="AF258" s="2">
        <f>AVERAGE(All_India_Index_Upto_April23_CPI_data[[#This Row],[Household goods and services]],All_India_Index_Upto_April23_CPI_data[[#This Row],[Housing]])</f>
        <v>147.65</v>
      </c>
      <c r="AG258" s="2">
        <f>AVERAGE(All_India_Index_Upto_April23_CPI_data[[#This Row],[Personal care and effects]],All_India_Index_Upto_April23_CPI_data[[#This Row],[Health]])</f>
        <v>145.15</v>
      </c>
      <c r="AH258" s="2">
        <f>AVERAGE(All_India_Index_Upto_April23_CPI_data[[#This Row],[Clothing]:[Clothing and footwear]])</f>
        <v>142.36666666666667</v>
      </c>
      <c r="AI258" s="2">
        <v>147.30000000000001</v>
      </c>
      <c r="AJ258" s="1">
        <f>(All_India_Index_Upto_April23_CPI_data[[#This Row],[General index]]-AI255)/AI255</f>
        <v>-2.7081922816518437E-3</v>
      </c>
    </row>
    <row r="259" spans="1:36" x14ac:dyDescent="0.25">
      <c r="A259" t="s">
        <v>33</v>
      </c>
      <c r="B259">
        <v>2020</v>
      </c>
      <c r="C259" t="s">
        <v>35</v>
      </c>
      <c r="D259" s="2">
        <v>145.1</v>
      </c>
      <c r="E259" s="2">
        <v>167</v>
      </c>
      <c r="F259" s="2">
        <v>148.1</v>
      </c>
      <c r="G259" s="2">
        <v>151.5</v>
      </c>
      <c r="H259" s="2">
        <v>131.19999999999999</v>
      </c>
      <c r="I259" s="2">
        <v>142.5</v>
      </c>
      <c r="J259" s="2">
        <v>157.30000000000001</v>
      </c>
      <c r="K259" s="2">
        <v>141.1</v>
      </c>
      <c r="L259" s="2">
        <v>113.2</v>
      </c>
      <c r="M259" s="2">
        <v>153.19999999999999</v>
      </c>
      <c r="N259" s="2">
        <v>136.69999999999999</v>
      </c>
      <c r="O259" s="2">
        <v>159.6</v>
      </c>
      <c r="P259" s="2">
        <v>148.9</v>
      </c>
      <c r="Q259" s="2">
        <v>171.2</v>
      </c>
      <c r="R259" s="2">
        <v>151.19999999999999</v>
      </c>
      <c r="S259" s="2">
        <v>141.9</v>
      </c>
      <c r="T259" s="2">
        <v>149.80000000000001</v>
      </c>
      <c r="U259" s="2">
        <v>154.5</v>
      </c>
      <c r="V259" s="2">
        <v>148.9</v>
      </c>
      <c r="W259" s="2">
        <v>146.4</v>
      </c>
      <c r="X259" s="2">
        <v>152.30000000000001</v>
      </c>
      <c r="Y259" s="2">
        <v>129.9</v>
      </c>
      <c r="Z259" s="2">
        <v>143.69999999999999</v>
      </c>
      <c r="AA259" s="2">
        <v>156.1</v>
      </c>
      <c r="AB259" s="2">
        <v>145.19999999999999</v>
      </c>
      <c r="AC259" s="2">
        <v>143.80000000000001</v>
      </c>
      <c r="AD259" s="2">
        <f>AVERAGE(All_India_Index_Upto_April23_CPI_data[[#This Row],[Cereals and products]:[Food and beverages]])</f>
        <v>145.80000000000001</v>
      </c>
      <c r="AE259" s="2">
        <f>AVERAGE(All_India_Index_Upto_April23_CPI_data[[#This Row],[Recreation and amusement]],All_India_Index_Upto_April23_CPI_data[[#This Row],[Pan, tobacco and intoxicants]])</f>
        <v>157.44999999999999</v>
      </c>
      <c r="AF259" s="2">
        <f>AVERAGE(All_India_Index_Upto_April23_CPI_data[[#This Row],[Household goods and services]],All_India_Index_Upto_April23_CPI_data[[#This Row],[Housing]])</f>
        <v>150.44999999999999</v>
      </c>
      <c r="AG259" s="2">
        <f>AVERAGE(All_India_Index_Upto_April23_CPI_data[[#This Row],[Personal care and effects]],All_India_Index_Upto_April23_CPI_data[[#This Row],[Health]])</f>
        <v>148.75</v>
      </c>
      <c r="AH259" s="2">
        <f>AVERAGE(All_India_Index_Upto_April23_CPI_data[[#This Row],[Clothing]:[Clothing and footwear]])</f>
        <v>147.63333333333335</v>
      </c>
      <c r="AI259" s="2">
        <v>148.6</v>
      </c>
      <c r="AJ259" s="1">
        <f>(All_India_Index_Upto_April23_CPI_data[[#This Row],[General index]]-AI256)/AI256</f>
        <v>-3.3534540576794099E-3</v>
      </c>
    </row>
    <row r="260" spans="1:36" x14ac:dyDescent="0.25">
      <c r="A260" t="s">
        <v>30</v>
      </c>
      <c r="B260">
        <v>2020</v>
      </c>
      <c r="C260" t="s">
        <v>36</v>
      </c>
      <c r="D260" s="2">
        <v>147.19999999999999</v>
      </c>
      <c r="E260" s="2">
        <v>156.26</v>
      </c>
      <c r="F260" s="2">
        <v>146.9</v>
      </c>
      <c r="G260" s="2">
        <v>155.6</v>
      </c>
      <c r="H260" s="2">
        <v>137.1</v>
      </c>
      <c r="I260" s="2">
        <v>147.30000000000001</v>
      </c>
      <c r="J260" s="2">
        <v>162.69999999999999</v>
      </c>
      <c r="K260" s="2">
        <v>150.19999999999999</v>
      </c>
      <c r="L260" s="2">
        <v>119.8</v>
      </c>
      <c r="M260" s="2">
        <v>158.69999999999999</v>
      </c>
      <c r="N260" s="2">
        <v>139.19999999999999</v>
      </c>
      <c r="O260" s="2">
        <v>149.08000000000001</v>
      </c>
      <c r="P260" s="2">
        <v>150.1</v>
      </c>
      <c r="Q260" s="2">
        <v>155.38</v>
      </c>
      <c r="R260" s="2">
        <v>142.66</v>
      </c>
      <c r="S260" s="2">
        <v>135.97</v>
      </c>
      <c r="T260" s="2">
        <v>141.66999999999999</v>
      </c>
      <c r="U260" s="2">
        <v>0</v>
      </c>
      <c r="V260" s="2">
        <v>148.4</v>
      </c>
      <c r="W260" s="2">
        <v>136.68</v>
      </c>
      <c r="X260" s="2">
        <v>154.30000000000001</v>
      </c>
      <c r="Y260" s="2">
        <v>127.17</v>
      </c>
      <c r="Z260" s="2">
        <v>133.88999999999999</v>
      </c>
      <c r="AA260" s="2">
        <v>141.13</v>
      </c>
      <c r="AB260" s="2">
        <v>133.35</v>
      </c>
      <c r="AC260" s="2">
        <v>134.22999999999999</v>
      </c>
      <c r="AD260" s="2">
        <f>AVERAGE(All_India_Index_Upto_April23_CPI_data[[#This Row],[Cereals and products]:[Food and beverages]])</f>
        <v>147.70307692307694</v>
      </c>
      <c r="AE260" s="2">
        <f>AVERAGE(All_India_Index_Upto_April23_CPI_data[[#This Row],[Recreation and amusement]],All_India_Index_Upto_April23_CPI_data[[#This Row],[Pan, tobacco and intoxicants]])</f>
        <v>144.63499999999999</v>
      </c>
      <c r="AF260" s="2">
        <f>AVERAGE(All_India_Index_Upto_April23_CPI_data[[#This Row],[Household goods and services]],All_India_Index_Upto_April23_CPI_data[[#This Row],[Housing]])</f>
        <v>68.34</v>
      </c>
      <c r="AG260" s="2">
        <f>AVERAGE(All_India_Index_Upto_April23_CPI_data[[#This Row],[Personal care and effects]],All_India_Index_Upto_April23_CPI_data[[#This Row],[Health]])</f>
        <v>143.82499999999999</v>
      </c>
      <c r="AH260" s="2">
        <f>AVERAGE(All_India_Index_Upto_April23_CPI_data[[#This Row],[Clothing]:[Clothing and footwear]])</f>
        <v>140.1</v>
      </c>
      <c r="AI260" s="2">
        <v>139.56</v>
      </c>
      <c r="AJ260" s="1">
        <f>(All_India_Index_Upto_April23_CPI_data[[#This Row],[General index]]-AI257)/AI257</f>
        <v>-6.8357810413885237E-2</v>
      </c>
    </row>
    <row r="261" spans="1:36" x14ac:dyDescent="0.25">
      <c r="A261" t="s">
        <v>32</v>
      </c>
      <c r="B261">
        <v>2020</v>
      </c>
      <c r="C261" t="s">
        <v>36</v>
      </c>
      <c r="D261" s="2">
        <v>151.80000000000001</v>
      </c>
      <c r="E261" s="2">
        <v>156.26</v>
      </c>
      <c r="F261" s="2">
        <v>151.9</v>
      </c>
      <c r="G261" s="2">
        <v>155.5</v>
      </c>
      <c r="H261" s="2">
        <v>131.6</v>
      </c>
      <c r="I261" s="2">
        <v>152.9</v>
      </c>
      <c r="J261" s="2">
        <v>180</v>
      </c>
      <c r="K261" s="2">
        <v>150.80000000000001</v>
      </c>
      <c r="L261" s="2">
        <v>121.2</v>
      </c>
      <c r="M261" s="2">
        <v>154</v>
      </c>
      <c r="N261" s="2">
        <v>133.5</v>
      </c>
      <c r="O261" s="2">
        <v>149.08000000000001</v>
      </c>
      <c r="P261" s="2">
        <v>153.5</v>
      </c>
      <c r="Q261" s="2">
        <v>155.38</v>
      </c>
      <c r="R261" s="2">
        <v>142.66</v>
      </c>
      <c r="S261" s="2">
        <v>135.97</v>
      </c>
      <c r="T261" s="2">
        <v>141.66999999999999</v>
      </c>
      <c r="U261" s="2">
        <v>155.6</v>
      </c>
      <c r="V261" s="2">
        <v>137.1</v>
      </c>
      <c r="W261" s="2">
        <v>136.68</v>
      </c>
      <c r="X261" s="2">
        <v>144.80000000000001</v>
      </c>
      <c r="Y261" s="2">
        <v>127.17</v>
      </c>
      <c r="Z261" s="2">
        <v>133.88999999999999</v>
      </c>
      <c r="AA261" s="2">
        <v>141.13</v>
      </c>
      <c r="AB261" s="2">
        <v>133.35</v>
      </c>
      <c r="AC261" s="2">
        <v>134.22999999999999</v>
      </c>
      <c r="AD261" s="2">
        <f>AVERAGE(All_India_Index_Upto_April23_CPI_data[[#This Row],[Cereals and products]:[Food and beverages]])</f>
        <v>149.3876923076923</v>
      </c>
      <c r="AE261" s="2">
        <f>AVERAGE(All_India_Index_Upto_April23_CPI_data[[#This Row],[Recreation and amusement]],All_India_Index_Upto_April23_CPI_data[[#This Row],[Pan, tobacco and intoxicants]])</f>
        <v>144.63499999999999</v>
      </c>
      <c r="AF261" s="2">
        <f>AVERAGE(All_India_Index_Upto_April23_CPI_data[[#This Row],[Household goods and services]],All_India_Index_Upto_April23_CPI_data[[#This Row],[Housing]])</f>
        <v>146.13999999999999</v>
      </c>
      <c r="AG261" s="2">
        <f>AVERAGE(All_India_Index_Upto_April23_CPI_data[[#This Row],[Personal care and effects]],All_India_Index_Upto_April23_CPI_data[[#This Row],[Health]])</f>
        <v>139.07499999999999</v>
      </c>
      <c r="AH261" s="2">
        <f>AVERAGE(All_India_Index_Upto_April23_CPI_data[[#This Row],[Clothing]:[Clothing and footwear]])</f>
        <v>140.1</v>
      </c>
      <c r="AI261" s="2">
        <v>139.56</v>
      </c>
      <c r="AJ261" s="1">
        <f>(All_India_Index_Upto_April23_CPI_data[[#This Row],[General index]]-AI258)/AI258</f>
        <v>-5.2545824847250566E-2</v>
      </c>
    </row>
    <row r="262" spans="1:36" x14ac:dyDescent="0.25">
      <c r="A262" t="s">
        <v>33</v>
      </c>
      <c r="B262">
        <v>2020</v>
      </c>
      <c r="C262" t="s">
        <v>36</v>
      </c>
      <c r="D262" s="2">
        <v>148.69999999999999</v>
      </c>
      <c r="E262" s="2">
        <v>156.26</v>
      </c>
      <c r="F262" s="2">
        <v>148.80000000000001</v>
      </c>
      <c r="G262" s="2">
        <v>155.6</v>
      </c>
      <c r="H262" s="2">
        <v>135.1</v>
      </c>
      <c r="I262" s="2">
        <v>149.9</v>
      </c>
      <c r="J262" s="2">
        <v>168.6</v>
      </c>
      <c r="K262" s="2">
        <v>150.4</v>
      </c>
      <c r="L262" s="2">
        <v>120.3</v>
      </c>
      <c r="M262" s="2">
        <v>157.1</v>
      </c>
      <c r="N262" s="2">
        <v>136.80000000000001</v>
      </c>
      <c r="O262" s="2">
        <v>149.08000000000001</v>
      </c>
      <c r="P262" s="2">
        <v>151.4</v>
      </c>
      <c r="Q262" s="2">
        <v>155.38</v>
      </c>
      <c r="R262" s="2">
        <v>142.66</v>
      </c>
      <c r="S262" s="2">
        <v>135.97</v>
      </c>
      <c r="T262" s="2">
        <v>141.66999999999999</v>
      </c>
      <c r="U262" s="2">
        <v>155.6</v>
      </c>
      <c r="V262" s="2">
        <v>144.1</v>
      </c>
      <c r="W262" s="2">
        <v>136.68</v>
      </c>
      <c r="X262" s="2">
        <v>150.69999999999999</v>
      </c>
      <c r="Y262" s="2">
        <v>127.17</v>
      </c>
      <c r="Z262" s="2">
        <v>133.88999999999999</v>
      </c>
      <c r="AA262" s="2">
        <v>141.13</v>
      </c>
      <c r="AB262" s="2">
        <v>133.35</v>
      </c>
      <c r="AC262" s="2">
        <v>134.22999999999999</v>
      </c>
      <c r="AD262" s="2">
        <f>AVERAGE(All_India_Index_Upto_April23_CPI_data[[#This Row],[Cereals and products]:[Food and beverages]])</f>
        <v>148.31076923076924</v>
      </c>
      <c r="AE262" s="2">
        <f>AVERAGE(All_India_Index_Upto_April23_CPI_data[[#This Row],[Recreation and amusement]],All_India_Index_Upto_April23_CPI_data[[#This Row],[Pan, tobacco and intoxicants]])</f>
        <v>144.63499999999999</v>
      </c>
      <c r="AF262" s="2">
        <f>AVERAGE(All_India_Index_Upto_April23_CPI_data[[#This Row],[Household goods and services]],All_India_Index_Upto_April23_CPI_data[[#This Row],[Housing]])</f>
        <v>146.13999999999999</v>
      </c>
      <c r="AG262" s="2">
        <f>AVERAGE(All_India_Index_Upto_April23_CPI_data[[#This Row],[Personal care and effects]],All_India_Index_Upto_April23_CPI_data[[#This Row],[Health]])</f>
        <v>142.02499999999998</v>
      </c>
      <c r="AH262" s="2">
        <f>AVERAGE(All_India_Index_Upto_April23_CPI_data[[#This Row],[Clothing]:[Clothing and footwear]])</f>
        <v>140.1</v>
      </c>
      <c r="AI262" s="2">
        <v>139.56</v>
      </c>
      <c r="AJ262" s="1">
        <f>(All_India_Index_Upto_April23_CPI_data[[#This Row],[General index]]-AI259)/AI259</f>
        <v>-6.0834454912516774E-2</v>
      </c>
    </row>
    <row r="263" spans="1:36" x14ac:dyDescent="0.25">
      <c r="A263" t="s">
        <v>30</v>
      </c>
      <c r="B263">
        <v>2020</v>
      </c>
      <c r="C263" t="s">
        <v>37</v>
      </c>
      <c r="D263" s="2">
        <v>136.68</v>
      </c>
      <c r="E263" s="2">
        <v>156.26</v>
      </c>
      <c r="F263" s="2">
        <v>140.79</v>
      </c>
      <c r="G263" s="2">
        <v>140.32</v>
      </c>
      <c r="H263" s="2">
        <v>132.12</v>
      </c>
      <c r="I263" s="2">
        <v>140.84</v>
      </c>
      <c r="J263" s="2">
        <v>155.75</v>
      </c>
      <c r="K263" s="2">
        <v>141.43</v>
      </c>
      <c r="L263" s="2">
        <v>110.92</v>
      </c>
      <c r="M263" s="2">
        <v>144.52000000000001</v>
      </c>
      <c r="N263" s="2">
        <v>134.09</v>
      </c>
      <c r="O263" s="2">
        <v>149.08000000000001</v>
      </c>
      <c r="P263" s="2">
        <v>142.51</v>
      </c>
      <c r="Q263" s="2">
        <v>155.38</v>
      </c>
      <c r="R263" s="2">
        <v>142.66</v>
      </c>
      <c r="S263" s="2">
        <v>135.97</v>
      </c>
      <c r="T263" s="2">
        <v>141.66999999999999</v>
      </c>
      <c r="U263" s="2">
        <v>0</v>
      </c>
      <c r="V263" s="2">
        <v>136.51</v>
      </c>
      <c r="W263" s="2">
        <v>136.68</v>
      </c>
      <c r="X263" s="2">
        <v>138.51</v>
      </c>
      <c r="Y263" s="2">
        <v>127.17</v>
      </c>
      <c r="Z263" s="2">
        <v>133.88999999999999</v>
      </c>
      <c r="AA263" s="2">
        <v>141.13</v>
      </c>
      <c r="AB263" s="2">
        <v>133.35</v>
      </c>
      <c r="AC263" s="2">
        <v>134.22999999999999</v>
      </c>
      <c r="AD263" s="2">
        <f>AVERAGE(All_India_Index_Upto_April23_CPI_data[[#This Row],[Cereals and products]:[Food and beverages]])</f>
        <v>140.40846153846152</v>
      </c>
      <c r="AE263" s="2">
        <f>AVERAGE(All_India_Index_Upto_April23_CPI_data[[#This Row],[Recreation and amusement]],All_India_Index_Upto_April23_CPI_data[[#This Row],[Pan, tobacco and intoxicants]])</f>
        <v>144.63499999999999</v>
      </c>
      <c r="AF263" s="2">
        <f>AVERAGE(All_India_Index_Upto_April23_CPI_data[[#This Row],[Household goods and services]],All_India_Index_Upto_April23_CPI_data[[#This Row],[Housing]])</f>
        <v>68.34</v>
      </c>
      <c r="AG263" s="2">
        <f>AVERAGE(All_India_Index_Upto_April23_CPI_data[[#This Row],[Personal care and effects]],All_India_Index_Upto_April23_CPI_data[[#This Row],[Health]])</f>
        <v>135.93</v>
      </c>
      <c r="AH263" s="2">
        <f>AVERAGE(All_India_Index_Upto_April23_CPI_data[[#This Row],[Clothing]:[Clothing and footwear]])</f>
        <v>140.1</v>
      </c>
      <c r="AI263" s="2">
        <v>139.56</v>
      </c>
      <c r="AJ263" s="1">
        <f>(All_India_Index_Upto_April23_CPI_data[[#This Row],[General index]]-AI260)/AI260</f>
        <v>0</v>
      </c>
    </row>
    <row r="264" spans="1:36" x14ac:dyDescent="0.25">
      <c r="A264" t="s">
        <v>32</v>
      </c>
      <c r="B264">
        <v>2020</v>
      </c>
      <c r="C264" t="s">
        <v>37</v>
      </c>
      <c r="D264" s="2">
        <v>136.68</v>
      </c>
      <c r="E264" s="2">
        <v>156.26</v>
      </c>
      <c r="F264" s="2">
        <v>140.79</v>
      </c>
      <c r="G264" s="2">
        <v>140.32</v>
      </c>
      <c r="H264" s="2">
        <v>132.12</v>
      </c>
      <c r="I264" s="2">
        <v>140.84</v>
      </c>
      <c r="J264" s="2">
        <v>155.75</v>
      </c>
      <c r="K264" s="2">
        <v>141.43</v>
      </c>
      <c r="L264" s="2">
        <v>110.92</v>
      </c>
      <c r="M264" s="2">
        <v>144.52000000000001</v>
      </c>
      <c r="N264" s="2">
        <v>134.09</v>
      </c>
      <c r="O264" s="2">
        <v>149.08000000000001</v>
      </c>
      <c r="P264" s="2">
        <v>142.51</v>
      </c>
      <c r="Q264" s="2">
        <v>155.38</v>
      </c>
      <c r="R264" s="2">
        <v>142.66</v>
      </c>
      <c r="S264" s="2">
        <v>135.97</v>
      </c>
      <c r="T264" s="2">
        <v>141.66999999999999</v>
      </c>
      <c r="U264" s="2">
        <v>0</v>
      </c>
      <c r="V264" s="2">
        <v>136.51</v>
      </c>
      <c r="W264" s="2">
        <v>136.68</v>
      </c>
      <c r="X264" s="2">
        <v>138.51</v>
      </c>
      <c r="Y264" s="2">
        <v>127.17</v>
      </c>
      <c r="Z264" s="2">
        <v>133.88999999999999</v>
      </c>
      <c r="AA264" s="2">
        <v>141.13</v>
      </c>
      <c r="AB264" s="2">
        <v>133.35</v>
      </c>
      <c r="AC264" s="2">
        <v>134.22999999999999</v>
      </c>
      <c r="AD264" s="2">
        <f>AVERAGE(All_India_Index_Upto_April23_CPI_data[[#This Row],[Cereals and products]:[Food and beverages]])</f>
        <v>140.40846153846152</v>
      </c>
      <c r="AE264" s="2">
        <f>AVERAGE(All_India_Index_Upto_April23_CPI_data[[#This Row],[Recreation and amusement]],All_India_Index_Upto_April23_CPI_data[[#This Row],[Pan, tobacco and intoxicants]])</f>
        <v>144.63499999999999</v>
      </c>
      <c r="AF264" s="2">
        <f>AVERAGE(All_India_Index_Upto_April23_CPI_data[[#This Row],[Household goods and services]],All_India_Index_Upto_April23_CPI_data[[#This Row],[Housing]])</f>
        <v>68.34</v>
      </c>
      <c r="AG264" s="2">
        <f>AVERAGE(All_India_Index_Upto_April23_CPI_data[[#This Row],[Personal care and effects]],All_India_Index_Upto_April23_CPI_data[[#This Row],[Health]])</f>
        <v>135.93</v>
      </c>
      <c r="AH264" s="2">
        <f>AVERAGE(All_India_Index_Upto_April23_CPI_data[[#This Row],[Clothing]:[Clothing and footwear]])</f>
        <v>140.1</v>
      </c>
      <c r="AI264" s="2">
        <v>139.56</v>
      </c>
      <c r="AJ264" s="1">
        <f>(All_India_Index_Upto_April23_CPI_data[[#This Row],[General index]]-AI261)/AI261</f>
        <v>0</v>
      </c>
    </row>
    <row r="265" spans="1:36" x14ac:dyDescent="0.25">
      <c r="A265" t="s">
        <v>33</v>
      </c>
      <c r="B265">
        <v>2020</v>
      </c>
      <c r="C265" t="s">
        <v>37</v>
      </c>
      <c r="D265" s="2">
        <v>136.68</v>
      </c>
      <c r="E265" s="2">
        <v>156.26</v>
      </c>
      <c r="F265" s="2">
        <v>140.79</v>
      </c>
      <c r="G265" s="2">
        <v>140.32</v>
      </c>
      <c r="H265" s="2">
        <v>132.12</v>
      </c>
      <c r="I265" s="2">
        <v>140.84</v>
      </c>
      <c r="J265" s="2">
        <v>155.75</v>
      </c>
      <c r="K265" s="2">
        <v>141.43</v>
      </c>
      <c r="L265" s="2">
        <v>110.92</v>
      </c>
      <c r="M265" s="2">
        <v>144.52000000000001</v>
      </c>
      <c r="N265" s="2">
        <v>134.09</v>
      </c>
      <c r="O265" s="2">
        <v>149.08000000000001</v>
      </c>
      <c r="P265" s="2">
        <v>142.51</v>
      </c>
      <c r="Q265" s="2">
        <v>155.38</v>
      </c>
      <c r="R265" s="2">
        <v>142.66</v>
      </c>
      <c r="S265" s="2">
        <v>135.97</v>
      </c>
      <c r="T265" s="2">
        <v>141.66999999999999</v>
      </c>
      <c r="U265" s="2">
        <v>0</v>
      </c>
      <c r="V265" s="2">
        <v>136.51</v>
      </c>
      <c r="W265" s="2">
        <v>136.68</v>
      </c>
      <c r="X265" s="2">
        <v>138.51</v>
      </c>
      <c r="Y265" s="2">
        <v>127.17</v>
      </c>
      <c r="Z265" s="2">
        <v>133.88999999999999</v>
      </c>
      <c r="AA265" s="2">
        <v>141.13</v>
      </c>
      <c r="AB265" s="2">
        <v>133.35</v>
      </c>
      <c r="AC265" s="2">
        <v>134.22999999999999</v>
      </c>
      <c r="AD265" s="2">
        <f>AVERAGE(All_India_Index_Upto_April23_CPI_data[[#This Row],[Cereals and products]:[Food and beverages]])</f>
        <v>140.40846153846152</v>
      </c>
      <c r="AE265" s="2">
        <f>AVERAGE(All_India_Index_Upto_April23_CPI_data[[#This Row],[Recreation and amusement]],All_India_Index_Upto_April23_CPI_data[[#This Row],[Pan, tobacco and intoxicants]])</f>
        <v>144.63499999999999</v>
      </c>
      <c r="AF265" s="2">
        <f>AVERAGE(All_India_Index_Upto_April23_CPI_data[[#This Row],[Household goods and services]],All_India_Index_Upto_April23_CPI_data[[#This Row],[Housing]])</f>
        <v>68.34</v>
      </c>
      <c r="AG265" s="2">
        <f>AVERAGE(All_India_Index_Upto_April23_CPI_data[[#This Row],[Personal care and effects]],All_India_Index_Upto_April23_CPI_data[[#This Row],[Health]])</f>
        <v>135.93</v>
      </c>
      <c r="AH265" s="2">
        <f>AVERAGE(All_India_Index_Upto_April23_CPI_data[[#This Row],[Clothing]:[Clothing and footwear]])</f>
        <v>140.1</v>
      </c>
      <c r="AI265" s="2">
        <v>139.56</v>
      </c>
      <c r="AJ265" s="1">
        <f>(All_India_Index_Upto_April23_CPI_data[[#This Row],[General index]]-AI262)/AI262</f>
        <v>0</v>
      </c>
    </row>
    <row r="266" spans="1:36" x14ac:dyDescent="0.25">
      <c r="A266" t="s">
        <v>30</v>
      </c>
      <c r="B266">
        <v>2020</v>
      </c>
      <c r="C266" t="s">
        <v>38</v>
      </c>
      <c r="D266" s="2">
        <v>148.19999999999999</v>
      </c>
      <c r="E266" s="2">
        <v>190.3</v>
      </c>
      <c r="F266" s="2">
        <v>149.4</v>
      </c>
      <c r="G266" s="2">
        <v>153.30000000000001</v>
      </c>
      <c r="H266" s="2">
        <v>138.19999999999999</v>
      </c>
      <c r="I266" s="2">
        <v>143.19999999999999</v>
      </c>
      <c r="J266" s="2">
        <v>148.9</v>
      </c>
      <c r="K266" s="2">
        <v>150.30000000000001</v>
      </c>
      <c r="L266" s="2">
        <v>113.2</v>
      </c>
      <c r="M266" s="2">
        <v>159.80000000000001</v>
      </c>
      <c r="N266" s="2">
        <v>142.1</v>
      </c>
      <c r="O266" s="2">
        <v>161.80000000000001</v>
      </c>
      <c r="P266" s="2">
        <v>152.30000000000001</v>
      </c>
      <c r="Q266" s="2">
        <v>182.4</v>
      </c>
      <c r="R266" s="2">
        <v>154.69999999999999</v>
      </c>
      <c r="S266" s="2">
        <v>150</v>
      </c>
      <c r="T266" s="2">
        <v>154.1</v>
      </c>
      <c r="U266" s="2">
        <v>0</v>
      </c>
      <c r="V266" s="2">
        <v>144.9</v>
      </c>
      <c r="W266" s="2">
        <v>151.69999999999999</v>
      </c>
      <c r="X266" s="2">
        <v>158.19999999999999</v>
      </c>
      <c r="Y266" s="2">
        <v>141.4</v>
      </c>
      <c r="Z266" s="2">
        <v>153.19999999999999</v>
      </c>
      <c r="AA266" s="2">
        <v>161.80000000000001</v>
      </c>
      <c r="AB266" s="2">
        <v>151.19999999999999</v>
      </c>
      <c r="AC266" s="2">
        <v>151.69999999999999</v>
      </c>
      <c r="AD266" s="2">
        <f>AVERAGE(All_India_Index_Upto_April23_CPI_data[[#This Row],[Cereals and products]:[Food and beverages]])</f>
        <v>150.07692307692307</v>
      </c>
      <c r="AE266" s="2">
        <f>AVERAGE(All_India_Index_Upto_April23_CPI_data[[#This Row],[Recreation and amusement]],All_India_Index_Upto_April23_CPI_data[[#This Row],[Pan, tobacco and intoxicants]])</f>
        <v>167.8</v>
      </c>
      <c r="AF266" s="2">
        <f>AVERAGE(All_India_Index_Upto_April23_CPI_data[[#This Row],[Household goods and services]],All_India_Index_Upto_April23_CPI_data[[#This Row],[Housing]])</f>
        <v>75.849999999999994</v>
      </c>
      <c r="AG266" s="2">
        <f>AVERAGE(All_India_Index_Upto_April23_CPI_data[[#This Row],[Personal care and effects]],All_India_Index_Upto_April23_CPI_data[[#This Row],[Health]])</f>
        <v>154.69999999999999</v>
      </c>
      <c r="AH266" s="2">
        <f>AVERAGE(All_India_Index_Upto_April23_CPI_data[[#This Row],[Clothing]:[Clothing and footwear]])</f>
        <v>152.93333333333331</v>
      </c>
      <c r="AI266" s="2">
        <v>152.69999999999999</v>
      </c>
      <c r="AJ266" s="1">
        <f>(All_India_Index_Upto_April23_CPI_data[[#This Row],[General index]]-AI263)/AI263</f>
        <v>9.41530524505588E-2</v>
      </c>
    </row>
    <row r="267" spans="1:36" x14ac:dyDescent="0.25">
      <c r="A267" t="s">
        <v>32</v>
      </c>
      <c r="B267">
        <v>2020</v>
      </c>
      <c r="C267" t="s">
        <v>38</v>
      </c>
      <c r="D267" s="2">
        <v>152.69999999999999</v>
      </c>
      <c r="E267" s="2">
        <v>197</v>
      </c>
      <c r="F267" s="2">
        <v>154.6</v>
      </c>
      <c r="G267" s="2">
        <v>153.4</v>
      </c>
      <c r="H267" s="2">
        <v>132.9</v>
      </c>
      <c r="I267" s="2">
        <v>151.80000000000001</v>
      </c>
      <c r="J267" s="2">
        <v>171.2</v>
      </c>
      <c r="K267" s="2">
        <v>152</v>
      </c>
      <c r="L267" s="2">
        <v>116.3</v>
      </c>
      <c r="M267" s="2">
        <v>158.80000000000001</v>
      </c>
      <c r="N267" s="2">
        <v>135.6</v>
      </c>
      <c r="O267" s="2">
        <v>161.69999999999999</v>
      </c>
      <c r="P267" s="2">
        <v>157</v>
      </c>
      <c r="Q267" s="2">
        <v>186.7</v>
      </c>
      <c r="R267" s="2">
        <v>149.1</v>
      </c>
      <c r="S267" s="2">
        <v>136.6</v>
      </c>
      <c r="T267" s="2">
        <v>147.19999999999999</v>
      </c>
      <c r="U267" s="2">
        <v>154.69999999999999</v>
      </c>
      <c r="V267" s="2">
        <v>137.1</v>
      </c>
      <c r="W267" s="2">
        <v>140.4</v>
      </c>
      <c r="X267" s="2">
        <v>148.1</v>
      </c>
      <c r="Y267" s="2">
        <v>129.30000000000001</v>
      </c>
      <c r="Z267" s="2">
        <v>144.5</v>
      </c>
      <c r="AA267" s="2">
        <v>152.5</v>
      </c>
      <c r="AB267" s="2">
        <v>152.19999999999999</v>
      </c>
      <c r="AC267" s="2">
        <v>142</v>
      </c>
      <c r="AD267" s="2">
        <f>AVERAGE(All_India_Index_Upto_April23_CPI_data[[#This Row],[Cereals and products]:[Food and beverages]])</f>
        <v>153.46153846153845</v>
      </c>
      <c r="AE267" s="2">
        <f>AVERAGE(All_India_Index_Upto_April23_CPI_data[[#This Row],[Recreation and amusement]],All_India_Index_Upto_April23_CPI_data[[#This Row],[Pan, tobacco and intoxicants]])</f>
        <v>165.6</v>
      </c>
      <c r="AF267" s="2">
        <f>AVERAGE(All_India_Index_Upto_April23_CPI_data[[#This Row],[Household goods and services]],All_India_Index_Upto_April23_CPI_data[[#This Row],[Housing]])</f>
        <v>147.55000000000001</v>
      </c>
      <c r="AG267" s="2">
        <f>AVERAGE(All_India_Index_Upto_April23_CPI_data[[#This Row],[Personal care and effects]],All_India_Index_Upto_April23_CPI_data[[#This Row],[Health]])</f>
        <v>150.14999999999998</v>
      </c>
      <c r="AH267" s="2">
        <f>AVERAGE(All_India_Index_Upto_April23_CPI_data[[#This Row],[Clothing]:[Clothing and footwear]])</f>
        <v>144.29999999999998</v>
      </c>
      <c r="AI267" s="2">
        <v>150.80000000000001</v>
      </c>
      <c r="AJ267" s="1">
        <f>(All_India_Index_Upto_April23_CPI_data[[#This Row],[General index]]-AI264)/AI264</f>
        <v>8.05388363427917E-2</v>
      </c>
    </row>
    <row r="268" spans="1:36" x14ac:dyDescent="0.25">
      <c r="A268" t="s">
        <v>33</v>
      </c>
      <c r="B268">
        <v>2020</v>
      </c>
      <c r="C268" t="s">
        <v>38</v>
      </c>
      <c r="D268" s="2">
        <v>149.6</v>
      </c>
      <c r="E268" s="2">
        <v>192.7</v>
      </c>
      <c r="F268" s="2">
        <v>151.4</v>
      </c>
      <c r="G268" s="2">
        <v>153.30000000000001</v>
      </c>
      <c r="H268" s="2">
        <v>136.30000000000001</v>
      </c>
      <c r="I268" s="2">
        <v>147.19999999999999</v>
      </c>
      <c r="J268" s="2">
        <v>156.5</v>
      </c>
      <c r="K268" s="2">
        <v>150.9</v>
      </c>
      <c r="L268" s="2">
        <v>114.2</v>
      </c>
      <c r="M268" s="2">
        <v>159.5</v>
      </c>
      <c r="N268" s="2">
        <v>139.4</v>
      </c>
      <c r="O268" s="2">
        <v>161.80000000000001</v>
      </c>
      <c r="P268" s="2">
        <v>154</v>
      </c>
      <c r="Q268" s="2">
        <v>183.5</v>
      </c>
      <c r="R268" s="2">
        <v>152.5</v>
      </c>
      <c r="S268" s="2">
        <v>144.4</v>
      </c>
      <c r="T268" s="2">
        <v>151.4</v>
      </c>
      <c r="U268" s="2">
        <v>154.69999999999999</v>
      </c>
      <c r="V268" s="2">
        <v>141.9</v>
      </c>
      <c r="W268" s="2">
        <v>146.4</v>
      </c>
      <c r="X268" s="2">
        <v>154.4</v>
      </c>
      <c r="Y268" s="2">
        <v>135</v>
      </c>
      <c r="Z268" s="2">
        <v>148.30000000000001</v>
      </c>
      <c r="AA268" s="2">
        <v>156.4</v>
      </c>
      <c r="AB268" s="2">
        <v>151.6</v>
      </c>
      <c r="AC268" s="2">
        <v>147</v>
      </c>
      <c r="AD268" s="2">
        <f>AVERAGE(All_India_Index_Upto_April23_CPI_data[[#This Row],[Cereals and products]:[Food and beverages]])</f>
        <v>151.2923076923077</v>
      </c>
      <c r="AE268" s="2">
        <f>AVERAGE(All_India_Index_Upto_April23_CPI_data[[#This Row],[Recreation and amusement]],All_India_Index_Upto_April23_CPI_data[[#This Row],[Pan, tobacco and intoxicants]])</f>
        <v>165.9</v>
      </c>
      <c r="AF268" s="2">
        <f>AVERAGE(All_India_Index_Upto_April23_CPI_data[[#This Row],[Household goods and services]],All_India_Index_Upto_April23_CPI_data[[#This Row],[Housing]])</f>
        <v>150.55000000000001</v>
      </c>
      <c r="AG268" s="2">
        <f>AVERAGE(All_India_Index_Upto_April23_CPI_data[[#This Row],[Personal care and effects]],All_India_Index_Upto_April23_CPI_data[[#This Row],[Health]])</f>
        <v>153</v>
      </c>
      <c r="AH268" s="2">
        <f>AVERAGE(All_India_Index_Upto_April23_CPI_data[[#This Row],[Clothing]:[Clothing and footwear]])</f>
        <v>149.43333333333331</v>
      </c>
      <c r="AI268" s="2">
        <v>151.80000000000001</v>
      </c>
      <c r="AJ268" s="1">
        <f>(All_India_Index_Upto_April23_CPI_data[[#This Row],[General index]]-AI265)/AI265</f>
        <v>8.7704213241616577E-2</v>
      </c>
    </row>
    <row r="269" spans="1:36" x14ac:dyDescent="0.25">
      <c r="A269" t="s">
        <v>30</v>
      </c>
      <c r="B269">
        <v>2020</v>
      </c>
      <c r="C269" t="s">
        <v>39</v>
      </c>
      <c r="D269" s="2">
        <v>148.19999999999999</v>
      </c>
      <c r="E269" s="2">
        <v>190.3</v>
      </c>
      <c r="F269" s="2">
        <v>149.4</v>
      </c>
      <c r="G269" s="2">
        <v>153.30000000000001</v>
      </c>
      <c r="H269" s="2">
        <v>138.19999999999999</v>
      </c>
      <c r="I269" s="2">
        <v>143.19999999999999</v>
      </c>
      <c r="J269" s="2">
        <v>148.9</v>
      </c>
      <c r="K269" s="2">
        <v>150.30000000000001</v>
      </c>
      <c r="L269" s="2">
        <v>113.2</v>
      </c>
      <c r="M269" s="2">
        <v>159.80000000000001</v>
      </c>
      <c r="N269" s="2">
        <v>142.1</v>
      </c>
      <c r="O269" s="2">
        <v>161.80000000000001</v>
      </c>
      <c r="P269" s="2">
        <v>152.30000000000001</v>
      </c>
      <c r="Q269" s="2">
        <v>182.4</v>
      </c>
      <c r="R269" s="2">
        <v>154.69999999999999</v>
      </c>
      <c r="S269" s="2">
        <v>150</v>
      </c>
      <c r="T269" s="2">
        <v>154.1</v>
      </c>
      <c r="U269" s="2">
        <v>0</v>
      </c>
      <c r="V269" s="2">
        <v>144.9</v>
      </c>
      <c r="W269" s="2">
        <v>151.69999999999999</v>
      </c>
      <c r="X269" s="2">
        <v>158.19999999999999</v>
      </c>
      <c r="Y269" s="2">
        <v>141.4</v>
      </c>
      <c r="Z269" s="2">
        <v>153.19999999999999</v>
      </c>
      <c r="AA269" s="2">
        <v>161.80000000000001</v>
      </c>
      <c r="AB269" s="2">
        <v>151.19999999999999</v>
      </c>
      <c r="AC269" s="2">
        <v>151.69999999999999</v>
      </c>
      <c r="AD269" s="2">
        <f>AVERAGE(All_India_Index_Upto_April23_CPI_data[[#This Row],[Cereals and products]:[Food and beverages]])</f>
        <v>150.07692307692307</v>
      </c>
      <c r="AE269" s="2">
        <f>AVERAGE(All_India_Index_Upto_April23_CPI_data[[#This Row],[Recreation and amusement]],All_India_Index_Upto_April23_CPI_data[[#This Row],[Pan, tobacco and intoxicants]])</f>
        <v>167.8</v>
      </c>
      <c r="AF269" s="2">
        <f>AVERAGE(All_India_Index_Upto_April23_CPI_data[[#This Row],[Household goods and services]],All_India_Index_Upto_April23_CPI_data[[#This Row],[Housing]])</f>
        <v>75.849999999999994</v>
      </c>
      <c r="AG269" s="2">
        <f>AVERAGE(All_India_Index_Upto_April23_CPI_data[[#This Row],[Personal care and effects]],All_India_Index_Upto_April23_CPI_data[[#This Row],[Health]])</f>
        <v>154.69999999999999</v>
      </c>
      <c r="AH269" s="2">
        <f>AVERAGE(All_India_Index_Upto_April23_CPI_data[[#This Row],[Clothing]:[Clothing and footwear]])</f>
        <v>152.93333333333331</v>
      </c>
      <c r="AI269" s="2">
        <v>152.69999999999999</v>
      </c>
      <c r="AJ269" s="1">
        <f>(All_India_Index_Upto_April23_CPI_data[[#This Row],[General index]]-AI266)/AI266</f>
        <v>0</v>
      </c>
    </row>
    <row r="270" spans="1:36" x14ac:dyDescent="0.25">
      <c r="A270" t="s">
        <v>32</v>
      </c>
      <c r="B270">
        <v>2020</v>
      </c>
      <c r="C270" t="s">
        <v>39</v>
      </c>
      <c r="D270" s="2">
        <v>152.69999999999999</v>
      </c>
      <c r="E270" s="2">
        <v>197</v>
      </c>
      <c r="F270" s="2">
        <v>154.6</v>
      </c>
      <c r="G270" s="2">
        <v>153.4</v>
      </c>
      <c r="H270" s="2">
        <v>132.9</v>
      </c>
      <c r="I270" s="2">
        <v>151.80000000000001</v>
      </c>
      <c r="J270" s="2">
        <v>171.2</v>
      </c>
      <c r="K270" s="2">
        <v>152</v>
      </c>
      <c r="L270" s="2">
        <v>116.3</v>
      </c>
      <c r="M270" s="2">
        <v>158.80000000000001</v>
      </c>
      <c r="N270" s="2">
        <v>135.6</v>
      </c>
      <c r="O270" s="2">
        <v>161.69999999999999</v>
      </c>
      <c r="P270" s="2">
        <v>157</v>
      </c>
      <c r="Q270" s="2">
        <v>186.7</v>
      </c>
      <c r="R270" s="2">
        <v>149.1</v>
      </c>
      <c r="S270" s="2">
        <v>136.6</v>
      </c>
      <c r="T270" s="2">
        <v>147.19999999999999</v>
      </c>
      <c r="U270" s="2">
        <v>154.69999999999999</v>
      </c>
      <c r="V270" s="2">
        <v>137.1</v>
      </c>
      <c r="W270" s="2">
        <v>140.4</v>
      </c>
      <c r="X270" s="2">
        <v>148.1</v>
      </c>
      <c r="Y270" s="2">
        <v>129.30000000000001</v>
      </c>
      <c r="Z270" s="2">
        <v>144.5</v>
      </c>
      <c r="AA270" s="2">
        <v>152.5</v>
      </c>
      <c r="AB270" s="2">
        <v>152.19999999999999</v>
      </c>
      <c r="AC270" s="2">
        <v>142</v>
      </c>
      <c r="AD270" s="2">
        <f>AVERAGE(All_India_Index_Upto_April23_CPI_data[[#This Row],[Cereals and products]:[Food and beverages]])</f>
        <v>153.46153846153845</v>
      </c>
      <c r="AE270" s="2">
        <f>AVERAGE(All_India_Index_Upto_April23_CPI_data[[#This Row],[Recreation and amusement]],All_India_Index_Upto_April23_CPI_data[[#This Row],[Pan, tobacco and intoxicants]])</f>
        <v>165.6</v>
      </c>
      <c r="AF270" s="2">
        <f>AVERAGE(All_India_Index_Upto_April23_CPI_data[[#This Row],[Household goods and services]],All_India_Index_Upto_April23_CPI_data[[#This Row],[Housing]])</f>
        <v>147.55000000000001</v>
      </c>
      <c r="AG270" s="2">
        <f>AVERAGE(All_India_Index_Upto_April23_CPI_data[[#This Row],[Personal care and effects]],All_India_Index_Upto_April23_CPI_data[[#This Row],[Health]])</f>
        <v>150.14999999999998</v>
      </c>
      <c r="AH270" s="2">
        <f>AVERAGE(All_India_Index_Upto_April23_CPI_data[[#This Row],[Clothing]:[Clothing and footwear]])</f>
        <v>144.29999999999998</v>
      </c>
      <c r="AI270" s="2">
        <v>150.80000000000001</v>
      </c>
      <c r="AJ270" s="1">
        <f>(All_India_Index_Upto_April23_CPI_data[[#This Row],[General index]]-AI267)/AI267</f>
        <v>0</v>
      </c>
    </row>
    <row r="271" spans="1:36" x14ac:dyDescent="0.25">
      <c r="A271" t="s">
        <v>33</v>
      </c>
      <c r="B271">
        <v>2020</v>
      </c>
      <c r="C271" t="s">
        <v>39</v>
      </c>
      <c r="D271" s="2">
        <v>149.6</v>
      </c>
      <c r="E271" s="2">
        <v>192.7</v>
      </c>
      <c r="F271" s="2">
        <v>151.4</v>
      </c>
      <c r="G271" s="2">
        <v>153.30000000000001</v>
      </c>
      <c r="H271" s="2">
        <v>136.30000000000001</v>
      </c>
      <c r="I271" s="2">
        <v>147.19999999999999</v>
      </c>
      <c r="J271" s="2">
        <v>156.5</v>
      </c>
      <c r="K271" s="2">
        <v>150.9</v>
      </c>
      <c r="L271" s="2">
        <v>114.2</v>
      </c>
      <c r="M271" s="2">
        <v>159.5</v>
      </c>
      <c r="N271" s="2">
        <v>139.4</v>
      </c>
      <c r="O271" s="2">
        <v>161.80000000000001</v>
      </c>
      <c r="P271" s="2">
        <v>154</v>
      </c>
      <c r="Q271" s="2">
        <v>183.5</v>
      </c>
      <c r="R271" s="2">
        <v>152.5</v>
      </c>
      <c r="S271" s="2">
        <v>144.4</v>
      </c>
      <c r="T271" s="2">
        <v>151.4</v>
      </c>
      <c r="U271" s="2">
        <v>154.69999999999999</v>
      </c>
      <c r="V271" s="2">
        <v>141.9</v>
      </c>
      <c r="W271" s="2">
        <v>146.4</v>
      </c>
      <c r="X271" s="2">
        <v>154.4</v>
      </c>
      <c r="Y271" s="2">
        <v>135</v>
      </c>
      <c r="Z271" s="2">
        <v>148.30000000000001</v>
      </c>
      <c r="AA271" s="2">
        <v>156.4</v>
      </c>
      <c r="AB271" s="2">
        <v>151.6</v>
      </c>
      <c r="AC271" s="2">
        <v>147</v>
      </c>
      <c r="AD271" s="2">
        <f>AVERAGE(All_India_Index_Upto_April23_CPI_data[[#This Row],[Cereals and products]:[Food and beverages]])</f>
        <v>151.2923076923077</v>
      </c>
      <c r="AE271" s="2">
        <f>AVERAGE(All_India_Index_Upto_April23_CPI_data[[#This Row],[Recreation and amusement]],All_India_Index_Upto_April23_CPI_data[[#This Row],[Pan, tobacco and intoxicants]])</f>
        <v>165.9</v>
      </c>
      <c r="AF271" s="2">
        <f>AVERAGE(All_India_Index_Upto_April23_CPI_data[[#This Row],[Household goods and services]],All_India_Index_Upto_April23_CPI_data[[#This Row],[Housing]])</f>
        <v>150.55000000000001</v>
      </c>
      <c r="AG271" s="2">
        <f>AVERAGE(All_India_Index_Upto_April23_CPI_data[[#This Row],[Personal care and effects]],All_India_Index_Upto_April23_CPI_data[[#This Row],[Health]])</f>
        <v>153</v>
      </c>
      <c r="AH271" s="2">
        <f>AVERAGE(All_India_Index_Upto_April23_CPI_data[[#This Row],[Clothing]:[Clothing and footwear]])</f>
        <v>149.43333333333331</v>
      </c>
      <c r="AI271" s="2">
        <v>151.80000000000001</v>
      </c>
      <c r="AJ271" s="1">
        <f>(All_India_Index_Upto_April23_CPI_data[[#This Row],[General index]]-AI268)/AI268</f>
        <v>0</v>
      </c>
    </row>
    <row r="272" spans="1:36" x14ac:dyDescent="0.25">
      <c r="A272" t="s">
        <v>30</v>
      </c>
      <c r="B272">
        <v>2020</v>
      </c>
      <c r="C272" t="s">
        <v>40</v>
      </c>
      <c r="D272" s="2">
        <v>147.6</v>
      </c>
      <c r="E272" s="2">
        <v>187.2</v>
      </c>
      <c r="F272" s="2">
        <v>148.4</v>
      </c>
      <c r="G272" s="2">
        <v>153.30000000000001</v>
      </c>
      <c r="H272" s="2">
        <v>139.80000000000001</v>
      </c>
      <c r="I272" s="2">
        <v>146.9</v>
      </c>
      <c r="J272" s="2">
        <v>171</v>
      </c>
      <c r="K272" s="2">
        <v>149.9</v>
      </c>
      <c r="L272" s="2">
        <v>114.2</v>
      </c>
      <c r="M272" s="2">
        <v>160</v>
      </c>
      <c r="N272" s="2">
        <v>143.5</v>
      </c>
      <c r="O272" s="2">
        <v>161.5</v>
      </c>
      <c r="P272" s="2">
        <v>155.30000000000001</v>
      </c>
      <c r="Q272" s="2">
        <v>180.9</v>
      </c>
      <c r="R272" s="2">
        <v>155.1</v>
      </c>
      <c r="S272" s="2">
        <v>149.30000000000001</v>
      </c>
      <c r="T272" s="2">
        <v>154.30000000000001</v>
      </c>
      <c r="U272" s="2">
        <v>0</v>
      </c>
      <c r="V272" s="2">
        <v>145.80000000000001</v>
      </c>
      <c r="W272" s="2">
        <v>151.9</v>
      </c>
      <c r="X272" s="2">
        <v>158.80000000000001</v>
      </c>
      <c r="Y272" s="2">
        <v>143.6</v>
      </c>
      <c r="Z272" s="2">
        <v>152.19999999999999</v>
      </c>
      <c r="AA272" s="2">
        <v>162.69999999999999</v>
      </c>
      <c r="AB272" s="2">
        <v>153.6</v>
      </c>
      <c r="AC272" s="2">
        <v>153</v>
      </c>
      <c r="AD272" s="2">
        <f>AVERAGE(All_India_Index_Upto_April23_CPI_data[[#This Row],[Cereals and products]:[Food and beverages]])</f>
        <v>152.19999999999999</v>
      </c>
      <c r="AE272" s="2">
        <f>AVERAGE(All_India_Index_Upto_April23_CPI_data[[#This Row],[Recreation and amusement]],All_India_Index_Upto_April23_CPI_data[[#This Row],[Pan, tobacco and intoxicants]])</f>
        <v>166.55</v>
      </c>
      <c r="AF272" s="2">
        <f>AVERAGE(All_India_Index_Upto_April23_CPI_data[[#This Row],[Household goods and services]],All_India_Index_Upto_April23_CPI_data[[#This Row],[Housing]])</f>
        <v>75.95</v>
      </c>
      <c r="AG272" s="2">
        <f>AVERAGE(All_India_Index_Upto_April23_CPI_data[[#This Row],[Personal care and effects]],All_India_Index_Upto_April23_CPI_data[[#This Row],[Health]])</f>
        <v>156.19999999999999</v>
      </c>
      <c r="AH272" s="2">
        <f>AVERAGE(All_India_Index_Upto_April23_CPI_data[[#This Row],[Clothing]:[Clothing and footwear]])</f>
        <v>152.9</v>
      </c>
      <c r="AI272" s="2">
        <v>154.69999999999999</v>
      </c>
      <c r="AJ272" s="1">
        <f>(All_India_Index_Upto_April23_CPI_data[[#This Row],[General index]]-AI269)/AI269</f>
        <v>1.3097576948264572E-2</v>
      </c>
    </row>
    <row r="273" spans="1:36" x14ac:dyDescent="0.25">
      <c r="A273" t="s">
        <v>32</v>
      </c>
      <c r="B273">
        <v>2020</v>
      </c>
      <c r="C273" t="s">
        <v>40</v>
      </c>
      <c r="D273" s="2">
        <v>151.6</v>
      </c>
      <c r="E273" s="2">
        <v>197.8</v>
      </c>
      <c r="F273" s="2">
        <v>154.5</v>
      </c>
      <c r="G273" s="2">
        <v>153.4</v>
      </c>
      <c r="H273" s="2">
        <v>133.4</v>
      </c>
      <c r="I273" s="2">
        <v>154.5</v>
      </c>
      <c r="J273" s="2">
        <v>191.9</v>
      </c>
      <c r="K273" s="2">
        <v>151.30000000000001</v>
      </c>
      <c r="L273" s="2">
        <v>116.8</v>
      </c>
      <c r="M273" s="2">
        <v>160</v>
      </c>
      <c r="N273" s="2">
        <v>136.5</v>
      </c>
      <c r="O273" s="2">
        <v>163.30000000000001</v>
      </c>
      <c r="P273" s="2">
        <v>159.9</v>
      </c>
      <c r="Q273" s="2">
        <v>187.2</v>
      </c>
      <c r="R273" s="2">
        <v>150</v>
      </c>
      <c r="S273" s="2">
        <v>135.19999999999999</v>
      </c>
      <c r="T273" s="2">
        <v>147.80000000000001</v>
      </c>
      <c r="U273" s="2">
        <v>155.5</v>
      </c>
      <c r="V273" s="2">
        <v>138.30000000000001</v>
      </c>
      <c r="W273" s="2">
        <v>144.5</v>
      </c>
      <c r="X273" s="2">
        <v>148.69999999999999</v>
      </c>
      <c r="Y273" s="2">
        <v>133.9</v>
      </c>
      <c r="Z273" s="2">
        <v>141.19999999999999</v>
      </c>
      <c r="AA273" s="2">
        <v>155.5</v>
      </c>
      <c r="AB273" s="2">
        <v>155.19999999999999</v>
      </c>
      <c r="AC273" s="2">
        <v>144.80000000000001</v>
      </c>
      <c r="AD273" s="2">
        <f>AVERAGE(All_India_Index_Upto_April23_CPI_data[[#This Row],[Cereals and products]:[Food and beverages]])</f>
        <v>155.76153846153846</v>
      </c>
      <c r="AE273" s="2">
        <f>AVERAGE(All_India_Index_Upto_April23_CPI_data[[#This Row],[Recreation and amusement]],All_India_Index_Upto_April23_CPI_data[[#This Row],[Pan, tobacco and intoxicants]])</f>
        <v>164.2</v>
      </c>
      <c r="AF273" s="2">
        <f>AVERAGE(All_India_Index_Upto_April23_CPI_data[[#This Row],[Household goods and services]],All_India_Index_Upto_April23_CPI_data[[#This Row],[Housing]])</f>
        <v>150</v>
      </c>
      <c r="AG273" s="2">
        <f>AVERAGE(All_India_Index_Upto_April23_CPI_data[[#This Row],[Personal care and effects]],All_India_Index_Upto_April23_CPI_data[[#This Row],[Health]])</f>
        <v>151.94999999999999</v>
      </c>
      <c r="AH273" s="2">
        <f>AVERAGE(All_India_Index_Upto_April23_CPI_data[[#This Row],[Clothing]:[Clothing and footwear]])</f>
        <v>144.33333333333334</v>
      </c>
      <c r="AI273" s="2">
        <v>152.9</v>
      </c>
      <c r="AJ273" s="1">
        <f>(All_India_Index_Upto_April23_CPI_data[[#This Row],[General index]]-AI270)/AI270</f>
        <v>1.3925729442970783E-2</v>
      </c>
    </row>
    <row r="274" spans="1:36" x14ac:dyDescent="0.25">
      <c r="A274" t="s">
        <v>33</v>
      </c>
      <c r="B274">
        <v>2020</v>
      </c>
      <c r="C274" t="s">
        <v>40</v>
      </c>
      <c r="D274" s="2">
        <v>148.9</v>
      </c>
      <c r="E274" s="2">
        <v>190.9</v>
      </c>
      <c r="F274" s="2">
        <v>150.80000000000001</v>
      </c>
      <c r="G274" s="2">
        <v>153.30000000000001</v>
      </c>
      <c r="H274" s="2">
        <v>137.4</v>
      </c>
      <c r="I274" s="2">
        <v>150.4</v>
      </c>
      <c r="J274" s="2">
        <v>178.1</v>
      </c>
      <c r="K274" s="2">
        <v>150.4</v>
      </c>
      <c r="L274" s="2">
        <v>115.1</v>
      </c>
      <c r="M274" s="2">
        <v>160</v>
      </c>
      <c r="N274" s="2">
        <v>140.6</v>
      </c>
      <c r="O274" s="2">
        <v>162.30000000000001</v>
      </c>
      <c r="P274" s="2">
        <v>157</v>
      </c>
      <c r="Q274" s="2">
        <v>182.6</v>
      </c>
      <c r="R274" s="2">
        <v>153.1</v>
      </c>
      <c r="S274" s="2">
        <v>143.4</v>
      </c>
      <c r="T274" s="2">
        <v>151.69999999999999</v>
      </c>
      <c r="U274" s="2">
        <v>155.5</v>
      </c>
      <c r="V274" s="2">
        <v>143</v>
      </c>
      <c r="W274" s="2">
        <v>148.4</v>
      </c>
      <c r="X274" s="2">
        <v>155</v>
      </c>
      <c r="Y274" s="2">
        <v>138.5</v>
      </c>
      <c r="Z274" s="2">
        <v>146</v>
      </c>
      <c r="AA274" s="2">
        <v>158.5</v>
      </c>
      <c r="AB274" s="2">
        <v>154.30000000000001</v>
      </c>
      <c r="AC274" s="2">
        <v>149</v>
      </c>
      <c r="AD274" s="2">
        <f>AVERAGE(All_India_Index_Upto_April23_CPI_data[[#This Row],[Cereals and products]:[Food and beverages]])</f>
        <v>153.47692307692307</v>
      </c>
      <c r="AE274" s="2">
        <f>AVERAGE(All_India_Index_Upto_April23_CPI_data[[#This Row],[Recreation and amusement]],All_India_Index_Upto_April23_CPI_data[[#This Row],[Pan, tobacco and intoxicants]])</f>
        <v>164.3</v>
      </c>
      <c r="AF274" s="2">
        <f>AVERAGE(All_India_Index_Upto_April23_CPI_data[[#This Row],[Household goods and services]],All_India_Index_Upto_April23_CPI_data[[#This Row],[Housing]])</f>
        <v>151.94999999999999</v>
      </c>
      <c r="AG274" s="2">
        <f>AVERAGE(All_India_Index_Upto_April23_CPI_data[[#This Row],[Personal care and effects]],All_India_Index_Upto_April23_CPI_data[[#This Row],[Health]])</f>
        <v>154.65</v>
      </c>
      <c r="AH274" s="2">
        <f>AVERAGE(All_India_Index_Upto_April23_CPI_data[[#This Row],[Clothing]:[Clothing and footwear]])</f>
        <v>149.4</v>
      </c>
      <c r="AI274" s="2">
        <v>153.9</v>
      </c>
      <c r="AJ274" s="1">
        <f>(All_India_Index_Upto_April23_CPI_data[[#This Row],[General index]]-AI271)/AI271</f>
        <v>1.3833992094861622E-2</v>
      </c>
    </row>
    <row r="275" spans="1:36" x14ac:dyDescent="0.25">
      <c r="A275" t="s">
        <v>30</v>
      </c>
      <c r="B275">
        <v>2020</v>
      </c>
      <c r="C275" t="s">
        <v>41</v>
      </c>
      <c r="D275" s="2">
        <v>146.9</v>
      </c>
      <c r="E275" s="2">
        <v>183.9</v>
      </c>
      <c r="F275" s="2">
        <v>149.5</v>
      </c>
      <c r="G275" s="2">
        <v>153.4</v>
      </c>
      <c r="H275" s="2">
        <v>140.4</v>
      </c>
      <c r="I275" s="2">
        <v>147</v>
      </c>
      <c r="J275" s="2">
        <v>178.8</v>
      </c>
      <c r="K275" s="2">
        <v>149.30000000000001</v>
      </c>
      <c r="L275" s="2">
        <v>115.1</v>
      </c>
      <c r="M275" s="2">
        <v>160</v>
      </c>
      <c r="N275" s="2">
        <v>145.4</v>
      </c>
      <c r="O275" s="2">
        <v>161.6</v>
      </c>
      <c r="P275" s="2">
        <v>156.1</v>
      </c>
      <c r="Q275" s="2">
        <v>182.9</v>
      </c>
      <c r="R275" s="2">
        <v>155.4</v>
      </c>
      <c r="S275" s="2">
        <v>149.9</v>
      </c>
      <c r="T275" s="2">
        <v>154.6</v>
      </c>
      <c r="U275" s="2">
        <v>0</v>
      </c>
      <c r="V275" s="2">
        <v>146.4</v>
      </c>
      <c r="W275" s="2">
        <v>151.6</v>
      </c>
      <c r="X275" s="2">
        <v>159.1</v>
      </c>
      <c r="Y275" s="2">
        <v>144.6</v>
      </c>
      <c r="Z275" s="2">
        <v>152.80000000000001</v>
      </c>
      <c r="AA275" s="2">
        <v>161.1</v>
      </c>
      <c r="AB275" s="2">
        <v>157.4</v>
      </c>
      <c r="AC275" s="2">
        <v>153.69999999999999</v>
      </c>
      <c r="AD275" s="2">
        <f>AVERAGE(All_India_Index_Upto_April23_CPI_data[[#This Row],[Cereals and products]:[Food and beverages]])</f>
        <v>152.87692307692308</v>
      </c>
      <c r="AE275" s="2">
        <f>AVERAGE(All_India_Index_Upto_April23_CPI_data[[#This Row],[Recreation and amusement]],All_India_Index_Upto_April23_CPI_data[[#This Row],[Pan, tobacco and intoxicants]])</f>
        <v>167.85000000000002</v>
      </c>
      <c r="AF275" s="2">
        <f>AVERAGE(All_India_Index_Upto_April23_CPI_data[[#This Row],[Household goods and services]],All_India_Index_Upto_April23_CPI_data[[#This Row],[Housing]])</f>
        <v>75.8</v>
      </c>
      <c r="AG275" s="2">
        <f>AVERAGE(All_India_Index_Upto_April23_CPI_data[[#This Row],[Personal care and effects]],All_India_Index_Upto_April23_CPI_data[[#This Row],[Health]])</f>
        <v>158.25</v>
      </c>
      <c r="AH275" s="2">
        <f>AVERAGE(All_India_Index_Upto_April23_CPI_data[[#This Row],[Clothing]:[Clothing and footwear]])</f>
        <v>153.29999999999998</v>
      </c>
      <c r="AI275" s="2">
        <v>155.4</v>
      </c>
      <c r="AJ275" s="1">
        <f>(All_India_Index_Upto_April23_CPI_data[[#This Row],[General index]]-AI272)/AI272</f>
        <v>4.5248868778281649E-3</v>
      </c>
    </row>
    <row r="276" spans="1:36" x14ac:dyDescent="0.25">
      <c r="A276" t="s">
        <v>32</v>
      </c>
      <c r="B276">
        <v>2020</v>
      </c>
      <c r="C276" t="s">
        <v>41</v>
      </c>
      <c r="D276" s="2">
        <v>151.5</v>
      </c>
      <c r="E276" s="2">
        <v>193.1</v>
      </c>
      <c r="F276" s="2">
        <v>157.30000000000001</v>
      </c>
      <c r="G276" s="2">
        <v>153.9</v>
      </c>
      <c r="H276" s="2">
        <v>134.4</v>
      </c>
      <c r="I276" s="2">
        <v>155.4</v>
      </c>
      <c r="J276" s="2">
        <v>202</v>
      </c>
      <c r="K276" s="2">
        <v>150.80000000000001</v>
      </c>
      <c r="L276" s="2">
        <v>118.9</v>
      </c>
      <c r="M276" s="2">
        <v>160.9</v>
      </c>
      <c r="N276" s="2">
        <v>137.69999999999999</v>
      </c>
      <c r="O276" s="2">
        <v>164.4</v>
      </c>
      <c r="P276" s="2">
        <v>161.30000000000001</v>
      </c>
      <c r="Q276" s="2">
        <v>188.7</v>
      </c>
      <c r="R276" s="2">
        <v>150.19999999999999</v>
      </c>
      <c r="S276" s="2">
        <v>136.30000000000001</v>
      </c>
      <c r="T276" s="2">
        <v>148.1</v>
      </c>
      <c r="U276" s="2">
        <v>156.30000000000001</v>
      </c>
      <c r="V276" s="2">
        <v>137.19999999999999</v>
      </c>
      <c r="W276" s="2">
        <v>145.4</v>
      </c>
      <c r="X276" s="2">
        <v>150</v>
      </c>
      <c r="Y276" s="2">
        <v>135.1</v>
      </c>
      <c r="Z276" s="2">
        <v>141.80000000000001</v>
      </c>
      <c r="AA276" s="2">
        <v>154.9</v>
      </c>
      <c r="AB276" s="2">
        <v>159.80000000000001</v>
      </c>
      <c r="AC276" s="2">
        <v>146</v>
      </c>
      <c r="AD276" s="2">
        <f>AVERAGE(All_India_Index_Upto_April23_CPI_data[[#This Row],[Cereals and products]:[Food and beverages]])</f>
        <v>157.04615384615386</v>
      </c>
      <c r="AE276" s="2">
        <f>AVERAGE(All_India_Index_Upto_April23_CPI_data[[#This Row],[Recreation and amusement]],All_India_Index_Upto_April23_CPI_data[[#This Row],[Pan, tobacco and intoxicants]])</f>
        <v>165.25</v>
      </c>
      <c r="AF276" s="2">
        <f>AVERAGE(All_India_Index_Upto_April23_CPI_data[[#This Row],[Household goods and services]],All_India_Index_Upto_April23_CPI_data[[#This Row],[Housing]])</f>
        <v>150.85000000000002</v>
      </c>
      <c r="AG276" s="2">
        <f>AVERAGE(All_India_Index_Upto_April23_CPI_data[[#This Row],[Personal care and effects]],All_India_Index_Upto_April23_CPI_data[[#This Row],[Health]])</f>
        <v>154.9</v>
      </c>
      <c r="AH276" s="2">
        <f>AVERAGE(All_India_Index_Upto_April23_CPI_data[[#This Row],[Clothing]:[Clothing and footwear]])</f>
        <v>144.86666666666667</v>
      </c>
      <c r="AI276" s="2">
        <v>154</v>
      </c>
      <c r="AJ276" s="1">
        <f>(All_India_Index_Upto_April23_CPI_data[[#This Row],[General index]]-AI273)/AI273</f>
        <v>7.194244604316509E-3</v>
      </c>
    </row>
    <row r="277" spans="1:36" x14ac:dyDescent="0.25">
      <c r="A277" t="s">
        <v>33</v>
      </c>
      <c r="B277">
        <v>2020</v>
      </c>
      <c r="C277" t="s">
        <v>41</v>
      </c>
      <c r="D277" s="2">
        <v>148.4</v>
      </c>
      <c r="E277" s="2">
        <v>187.1</v>
      </c>
      <c r="F277" s="2">
        <v>152.5</v>
      </c>
      <c r="G277" s="2">
        <v>153.6</v>
      </c>
      <c r="H277" s="2">
        <v>138.19999999999999</v>
      </c>
      <c r="I277" s="2">
        <v>150.9</v>
      </c>
      <c r="J277" s="2">
        <v>186.7</v>
      </c>
      <c r="K277" s="2">
        <v>149.80000000000001</v>
      </c>
      <c r="L277" s="2">
        <v>116.4</v>
      </c>
      <c r="M277" s="2">
        <v>160.30000000000001</v>
      </c>
      <c r="N277" s="2">
        <v>142.19999999999999</v>
      </c>
      <c r="O277" s="2">
        <v>162.9</v>
      </c>
      <c r="P277" s="2">
        <v>158</v>
      </c>
      <c r="Q277" s="2">
        <v>184.4</v>
      </c>
      <c r="R277" s="2">
        <v>153.4</v>
      </c>
      <c r="S277" s="2">
        <v>144.30000000000001</v>
      </c>
      <c r="T277" s="2">
        <v>152</v>
      </c>
      <c r="U277" s="2">
        <v>156.30000000000001</v>
      </c>
      <c r="V277" s="2">
        <v>142.9</v>
      </c>
      <c r="W277" s="2">
        <v>148.69999999999999</v>
      </c>
      <c r="X277" s="2">
        <v>155.6</v>
      </c>
      <c r="Y277" s="2">
        <v>139.6</v>
      </c>
      <c r="Z277" s="2">
        <v>146.6</v>
      </c>
      <c r="AA277" s="2">
        <v>157.5</v>
      </c>
      <c r="AB277" s="2">
        <v>158.4</v>
      </c>
      <c r="AC277" s="2">
        <v>150</v>
      </c>
      <c r="AD277" s="2">
        <f>AVERAGE(All_India_Index_Upto_April23_CPI_data[[#This Row],[Cereals and products]:[Food and beverages]])</f>
        <v>154.38461538461539</v>
      </c>
      <c r="AE277" s="2">
        <f>AVERAGE(All_India_Index_Upto_April23_CPI_data[[#This Row],[Recreation and amusement]],All_India_Index_Upto_April23_CPI_data[[#This Row],[Pan, tobacco and intoxicants]])</f>
        <v>165.5</v>
      </c>
      <c r="AF277" s="2">
        <f>AVERAGE(All_India_Index_Upto_April23_CPI_data[[#This Row],[Household goods and services]],All_India_Index_Upto_April23_CPI_data[[#This Row],[Housing]])</f>
        <v>152.5</v>
      </c>
      <c r="AG277" s="2">
        <f>AVERAGE(All_India_Index_Upto_April23_CPI_data[[#This Row],[Personal care and effects]],All_India_Index_Upto_April23_CPI_data[[#This Row],[Health]])</f>
        <v>157</v>
      </c>
      <c r="AH277" s="2">
        <f>AVERAGE(All_India_Index_Upto_April23_CPI_data[[#This Row],[Clothing]:[Clothing and footwear]])</f>
        <v>149.9</v>
      </c>
      <c r="AI277" s="2">
        <v>154.69999999999999</v>
      </c>
      <c r="AJ277" s="1">
        <f>(All_India_Index_Upto_April23_CPI_data[[#This Row],[General index]]-AI274)/AI274</f>
        <v>5.1981806367770167E-3</v>
      </c>
    </row>
    <row r="278" spans="1:36" x14ac:dyDescent="0.25">
      <c r="A278" t="s">
        <v>30</v>
      </c>
      <c r="B278">
        <v>2020</v>
      </c>
      <c r="C278" t="s">
        <v>42</v>
      </c>
      <c r="D278" s="2">
        <v>146</v>
      </c>
      <c r="E278" s="2">
        <v>186.3</v>
      </c>
      <c r="F278" s="2">
        <v>159.19999999999999</v>
      </c>
      <c r="G278" s="2">
        <v>153.6</v>
      </c>
      <c r="H278" s="2">
        <v>142.6</v>
      </c>
      <c r="I278" s="2">
        <v>147.19999999999999</v>
      </c>
      <c r="J278" s="2">
        <v>200.6</v>
      </c>
      <c r="K278" s="2">
        <v>150.30000000000001</v>
      </c>
      <c r="L278" s="2">
        <v>115.3</v>
      </c>
      <c r="M278" s="2">
        <v>160.9</v>
      </c>
      <c r="N278" s="2">
        <v>147.4</v>
      </c>
      <c r="O278" s="2">
        <v>161.9</v>
      </c>
      <c r="P278" s="2">
        <v>159.6</v>
      </c>
      <c r="Q278" s="2">
        <v>182.7</v>
      </c>
      <c r="R278" s="2">
        <v>155.69999999999999</v>
      </c>
      <c r="S278" s="2">
        <v>150.6</v>
      </c>
      <c r="T278" s="2">
        <v>155</v>
      </c>
      <c r="U278" s="2">
        <v>0</v>
      </c>
      <c r="V278" s="2">
        <v>146.80000000000001</v>
      </c>
      <c r="W278" s="2">
        <v>152</v>
      </c>
      <c r="X278" s="2">
        <v>159.5</v>
      </c>
      <c r="Y278" s="2">
        <v>146.4</v>
      </c>
      <c r="Z278" s="2">
        <v>152.4</v>
      </c>
      <c r="AA278" s="2">
        <v>162.5</v>
      </c>
      <c r="AB278" s="2">
        <v>156.19999999999999</v>
      </c>
      <c r="AC278" s="2">
        <v>154.30000000000001</v>
      </c>
      <c r="AD278" s="2">
        <f>AVERAGE(All_India_Index_Upto_April23_CPI_data[[#This Row],[Cereals and products]:[Food and beverages]])</f>
        <v>156.22307692307692</v>
      </c>
      <c r="AE278" s="2">
        <f>AVERAGE(All_India_Index_Upto_April23_CPI_data[[#This Row],[Recreation and amusement]],All_India_Index_Upto_April23_CPI_data[[#This Row],[Pan, tobacco and intoxicants]])</f>
        <v>167.55</v>
      </c>
      <c r="AF278" s="2">
        <f>AVERAGE(All_India_Index_Upto_April23_CPI_data[[#This Row],[Household goods and services]],All_India_Index_Upto_April23_CPI_data[[#This Row],[Housing]])</f>
        <v>76</v>
      </c>
      <c r="AG278" s="2">
        <f>AVERAGE(All_India_Index_Upto_April23_CPI_data[[#This Row],[Personal care and effects]],All_India_Index_Upto_April23_CPI_data[[#This Row],[Health]])</f>
        <v>157.85</v>
      </c>
      <c r="AH278" s="2">
        <f>AVERAGE(All_India_Index_Upto_April23_CPI_data[[#This Row],[Clothing]:[Clothing and footwear]])</f>
        <v>153.76666666666665</v>
      </c>
      <c r="AI278" s="2">
        <v>157.5</v>
      </c>
      <c r="AJ278" s="1">
        <f>(All_India_Index_Upto_April23_CPI_data[[#This Row],[General index]]-AI275)/AI275</f>
        <v>1.3513513513513476E-2</v>
      </c>
    </row>
    <row r="279" spans="1:36" x14ac:dyDescent="0.25">
      <c r="A279" t="s">
        <v>32</v>
      </c>
      <c r="B279">
        <v>2020</v>
      </c>
      <c r="C279" t="s">
        <v>42</v>
      </c>
      <c r="D279" s="2">
        <v>150.6</v>
      </c>
      <c r="E279" s="2">
        <v>193.7</v>
      </c>
      <c r="F279" s="2">
        <v>164.8</v>
      </c>
      <c r="G279" s="2">
        <v>153.69999999999999</v>
      </c>
      <c r="H279" s="2">
        <v>135.69999999999999</v>
      </c>
      <c r="I279" s="2">
        <v>155.69999999999999</v>
      </c>
      <c r="J279" s="2">
        <v>226</v>
      </c>
      <c r="K279" s="2">
        <v>152.19999999999999</v>
      </c>
      <c r="L279" s="2">
        <v>118.1</v>
      </c>
      <c r="M279" s="2">
        <v>161.30000000000001</v>
      </c>
      <c r="N279" s="2">
        <v>139.19999999999999</v>
      </c>
      <c r="O279" s="2">
        <v>164.8</v>
      </c>
      <c r="P279" s="2">
        <v>164.4</v>
      </c>
      <c r="Q279" s="2">
        <v>188.7</v>
      </c>
      <c r="R279" s="2">
        <v>150.5</v>
      </c>
      <c r="S279" s="2">
        <v>136.1</v>
      </c>
      <c r="T279" s="2">
        <v>148.30000000000001</v>
      </c>
      <c r="U279" s="2">
        <v>156.5</v>
      </c>
      <c r="V279" s="2">
        <v>137.1</v>
      </c>
      <c r="W279" s="2">
        <v>145.1</v>
      </c>
      <c r="X279" s="2">
        <v>151</v>
      </c>
      <c r="Y279" s="2">
        <v>135.4</v>
      </c>
      <c r="Z279" s="2">
        <v>142</v>
      </c>
      <c r="AA279" s="2">
        <v>155.69999999999999</v>
      </c>
      <c r="AB279" s="2">
        <v>158.1</v>
      </c>
      <c r="AC279" s="2">
        <v>146.19999999999999</v>
      </c>
      <c r="AD279" s="2">
        <f>AVERAGE(All_India_Index_Upto_April23_CPI_data[[#This Row],[Cereals and products]:[Food and beverages]])</f>
        <v>160.01538461538459</v>
      </c>
      <c r="AE279" s="2">
        <f>AVERAGE(All_India_Index_Upto_April23_CPI_data[[#This Row],[Recreation and amusement]],All_India_Index_Upto_April23_CPI_data[[#This Row],[Pan, tobacco and intoxicants]])</f>
        <v>165.35</v>
      </c>
      <c r="AF279" s="2">
        <f>AVERAGE(All_India_Index_Upto_April23_CPI_data[[#This Row],[Household goods and services]],All_India_Index_Upto_April23_CPI_data[[#This Row],[Housing]])</f>
        <v>150.80000000000001</v>
      </c>
      <c r="AG279" s="2">
        <f>AVERAGE(All_India_Index_Upto_April23_CPI_data[[#This Row],[Personal care and effects]],All_India_Index_Upto_April23_CPI_data[[#This Row],[Health]])</f>
        <v>154.55000000000001</v>
      </c>
      <c r="AH279" s="2">
        <f>AVERAGE(All_India_Index_Upto_April23_CPI_data[[#This Row],[Clothing]:[Clothing and footwear]])</f>
        <v>144.96666666666667</v>
      </c>
      <c r="AI279" s="2">
        <v>155.19999999999999</v>
      </c>
      <c r="AJ279" s="1">
        <f>(All_India_Index_Upto_April23_CPI_data[[#This Row],[General index]]-AI276)/AI276</f>
        <v>7.7922077922077185E-3</v>
      </c>
    </row>
    <row r="280" spans="1:36" x14ac:dyDescent="0.25">
      <c r="A280" t="s">
        <v>33</v>
      </c>
      <c r="B280">
        <v>2020</v>
      </c>
      <c r="C280" t="s">
        <v>42</v>
      </c>
      <c r="D280" s="2">
        <v>147.5</v>
      </c>
      <c r="E280" s="2">
        <v>188.9</v>
      </c>
      <c r="F280" s="2">
        <v>161.4</v>
      </c>
      <c r="G280" s="2">
        <v>153.6</v>
      </c>
      <c r="H280" s="2">
        <v>140.1</v>
      </c>
      <c r="I280" s="2">
        <v>151.19999999999999</v>
      </c>
      <c r="J280" s="2">
        <v>209.2</v>
      </c>
      <c r="K280" s="2">
        <v>150.9</v>
      </c>
      <c r="L280" s="2">
        <v>116.2</v>
      </c>
      <c r="M280" s="2">
        <v>161</v>
      </c>
      <c r="N280" s="2">
        <v>144</v>
      </c>
      <c r="O280" s="2">
        <v>163.19999999999999</v>
      </c>
      <c r="P280" s="2">
        <v>161.4</v>
      </c>
      <c r="Q280" s="2">
        <v>184.3</v>
      </c>
      <c r="R280" s="2">
        <v>153.69999999999999</v>
      </c>
      <c r="S280" s="2">
        <v>144.6</v>
      </c>
      <c r="T280" s="2">
        <v>152.30000000000001</v>
      </c>
      <c r="U280" s="2">
        <v>156.5</v>
      </c>
      <c r="V280" s="2">
        <v>143.1</v>
      </c>
      <c r="W280" s="2">
        <v>148.69999999999999</v>
      </c>
      <c r="X280" s="2">
        <v>156.30000000000001</v>
      </c>
      <c r="Y280" s="2">
        <v>140.6</v>
      </c>
      <c r="Z280" s="2">
        <v>146.5</v>
      </c>
      <c r="AA280" s="2">
        <v>158.5</v>
      </c>
      <c r="AB280" s="2">
        <v>157</v>
      </c>
      <c r="AC280" s="2">
        <v>150.4</v>
      </c>
      <c r="AD280" s="2">
        <f>AVERAGE(All_India_Index_Upto_April23_CPI_data[[#This Row],[Cereals and products]:[Food and beverages]])</f>
        <v>157.5846153846154</v>
      </c>
      <c r="AE280" s="2">
        <f>AVERAGE(All_India_Index_Upto_April23_CPI_data[[#This Row],[Recreation and amusement]],All_India_Index_Upto_April23_CPI_data[[#This Row],[Pan, tobacco and intoxicants]])</f>
        <v>165.4</v>
      </c>
      <c r="AF280" s="2">
        <f>AVERAGE(All_India_Index_Upto_April23_CPI_data[[#This Row],[Household goods and services]],All_India_Index_Upto_April23_CPI_data[[#This Row],[Housing]])</f>
        <v>152.6</v>
      </c>
      <c r="AG280" s="2">
        <f>AVERAGE(All_India_Index_Upto_April23_CPI_data[[#This Row],[Personal care and effects]],All_India_Index_Upto_April23_CPI_data[[#This Row],[Health]])</f>
        <v>156.65</v>
      </c>
      <c r="AH280" s="2">
        <f>AVERAGE(All_India_Index_Upto_April23_CPI_data[[#This Row],[Clothing]:[Clothing and footwear]])</f>
        <v>150.19999999999999</v>
      </c>
      <c r="AI280" s="2">
        <v>156.4</v>
      </c>
      <c r="AJ280" s="1">
        <f>(All_India_Index_Upto_April23_CPI_data[[#This Row],[General index]]-AI277)/AI277</f>
        <v>1.0989010989011101E-2</v>
      </c>
    </row>
    <row r="281" spans="1:36" x14ac:dyDescent="0.25">
      <c r="A281" t="s">
        <v>30</v>
      </c>
      <c r="B281">
        <v>2020</v>
      </c>
      <c r="C281" t="s">
        <v>43</v>
      </c>
      <c r="D281" s="2">
        <v>145.4</v>
      </c>
      <c r="E281" s="2">
        <v>188.6</v>
      </c>
      <c r="F281" s="2">
        <v>171.6</v>
      </c>
      <c r="G281" s="2">
        <v>153.80000000000001</v>
      </c>
      <c r="H281" s="2">
        <v>145.4</v>
      </c>
      <c r="I281" s="2">
        <v>146.5</v>
      </c>
      <c r="J281" s="2">
        <v>222.2</v>
      </c>
      <c r="K281" s="2">
        <v>155.9</v>
      </c>
      <c r="L281" s="2">
        <v>114.9</v>
      </c>
      <c r="M281" s="2">
        <v>162</v>
      </c>
      <c r="N281" s="2">
        <v>150</v>
      </c>
      <c r="O281" s="2">
        <v>162.69999999999999</v>
      </c>
      <c r="P281" s="2">
        <v>163.4</v>
      </c>
      <c r="Q281" s="2">
        <v>183.4</v>
      </c>
      <c r="R281" s="2">
        <v>156.30000000000001</v>
      </c>
      <c r="S281" s="2">
        <v>151</v>
      </c>
      <c r="T281" s="2">
        <v>155.5</v>
      </c>
      <c r="U281" s="2">
        <v>0</v>
      </c>
      <c r="V281" s="2">
        <v>147.5</v>
      </c>
      <c r="W281" s="2">
        <v>152.80000000000001</v>
      </c>
      <c r="X281" s="2">
        <v>160.4</v>
      </c>
      <c r="Y281" s="2">
        <v>146.1</v>
      </c>
      <c r="Z281" s="2">
        <v>153.6</v>
      </c>
      <c r="AA281" s="2">
        <v>161.6</v>
      </c>
      <c r="AB281" s="2">
        <v>156.19999999999999</v>
      </c>
      <c r="AC281" s="2">
        <v>154.5</v>
      </c>
      <c r="AD281" s="2">
        <f>AVERAGE(All_India_Index_Upto_April23_CPI_data[[#This Row],[Cereals and products]:[Food and beverages]])</f>
        <v>160.1846153846154</v>
      </c>
      <c r="AE281" s="2">
        <f>AVERAGE(All_India_Index_Upto_April23_CPI_data[[#This Row],[Recreation and amusement]],All_India_Index_Upto_April23_CPI_data[[#This Row],[Pan, tobacco and intoxicants]])</f>
        <v>168.5</v>
      </c>
      <c r="AF281" s="2">
        <f>AVERAGE(All_India_Index_Upto_April23_CPI_data[[#This Row],[Household goods and services]],All_India_Index_Upto_April23_CPI_data[[#This Row],[Housing]])</f>
        <v>76.400000000000006</v>
      </c>
      <c r="AG281" s="2">
        <f>AVERAGE(All_India_Index_Upto_April23_CPI_data[[#This Row],[Personal care and effects]],All_India_Index_Upto_April23_CPI_data[[#This Row],[Health]])</f>
        <v>158.30000000000001</v>
      </c>
      <c r="AH281" s="2">
        <f>AVERAGE(All_India_Index_Upto_April23_CPI_data[[#This Row],[Clothing]:[Clothing and footwear]])</f>
        <v>154.26666666666668</v>
      </c>
      <c r="AI281" s="2">
        <v>159.80000000000001</v>
      </c>
      <c r="AJ281" s="1">
        <f>(All_India_Index_Upto_April23_CPI_data[[#This Row],[General index]]-AI278)/AI278</f>
        <v>1.4603174603174675E-2</v>
      </c>
    </row>
    <row r="282" spans="1:36" x14ac:dyDescent="0.25">
      <c r="A282" t="s">
        <v>32</v>
      </c>
      <c r="B282">
        <v>2020</v>
      </c>
      <c r="C282" t="s">
        <v>43</v>
      </c>
      <c r="D282" s="2">
        <v>149.69999999999999</v>
      </c>
      <c r="E282" s="2">
        <v>195.5</v>
      </c>
      <c r="F282" s="2">
        <v>176.9</v>
      </c>
      <c r="G282" s="2">
        <v>153.9</v>
      </c>
      <c r="H282" s="2">
        <v>138</v>
      </c>
      <c r="I282" s="2">
        <v>150.5</v>
      </c>
      <c r="J282" s="2">
        <v>245.3</v>
      </c>
      <c r="K282" s="2">
        <v>158.69999999999999</v>
      </c>
      <c r="L282" s="2">
        <v>117.2</v>
      </c>
      <c r="M282" s="2">
        <v>161.4</v>
      </c>
      <c r="N282" s="2">
        <v>141.5</v>
      </c>
      <c r="O282" s="2">
        <v>165.1</v>
      </c>
      <c r="P282" s="2">
        <v>167</v>
      </c>
      <c r="Q282" s="2">
        <v>188.8</v>
      </c>
      <c r="R282" s="2">
        <v>151.1</v>
      </c>
      <c r="S282" s="2">
        <v>136.4</v>
      </c>
      <c r="T282" s="2">
        <v>148.80000000000001</v>
      </c>
      <c r="U282" s="2">
        <v>158</v>
      </c>
      <c r="V282" s="2">
        <v>137.30000000000001</v>
      </c>
      <c r="W282" s="2">
        <v>145.1</v>
      </c>
      <c r="X282" s="2">
        <v>152</v>
      </c>
      <c r="Y282" s="2">
        <v>135.19999999999999</v>
      </c>
      <c r="Z282" s="2">
        <v>144.4</v>
      </c>
      <c r="AA282" s="2">
        <v>156.4</v>
      </c>
      <c r="AB282" s="2">
        <v>157.9</v>
      </c>
      <c r="AC282" s="2">
        <v>146.6</v>
      </c>
      <c r="AD282" s="2">
        <f>AVERAGE(All_India_Index_Upto_April23_CPI_data[[#This Row],[Cereals and products]:[Food and beverages]])</f>
        <v>163.1307692307692</v>
      </c>
      <c r="AE282" s="2">
        <f>AVERAGE(All_India_Index_Upto_April23_CPI_data[[#This Row],[Recreation and amusement]],All_India_Index_Upto_April23_CPI_data[[#This Row],[Pan, tobacco and intoxicants]])</f>
        <v>166.60000000000002</v>
      </c>
      <c r="AF282" s="2">
        <f>AVERAGE(All_India_Index_Upto_April23_CPI_data[[#This Row],[Household goods and services]],All_India_Index_Upto_April23_CPI_data[[#This Row],[Housing]])</f>
        <v>151.55000000000001</v>
      </c>
      <c r="AG282" s="2">
        <f>AVERAGE(All_India_Index_Upto_April23_CPI_data[[#This Row],[Personal care and effects]],All_India_Index_Upto_April23_CPI_data[[#This Row],[Health]])</f>
        <v>154.94999999999999</v>
      </c>
      <c r="AH282" s="2">
        <f>AVERAGE(All_India_Index_Upto_April23_CPI_data[[#This Row],[Clothing]:[Clothing and footwear]])</f>
        <v>145.43333333333334</v>
      </c>
      <c r="AI282" s="2">
        <v>156.69999999999999</v>
      </c>
      <c r="AJ282" s="1">
        <f>(All_India_Index_Upto_April23_CPI_data[[#This Row],[General index]]-AI279)/AI279</f>
        <v>9.6649484536082478E-3</v>
      </c>
    </row>
    <row r="283" spans="1:36" x14ac:dyDescent="0.25">
      <c r="A283" t="s">
        <v>33</v>
      </c>
      <c r="B283">
        <v>2020</v>
      </c>
      <c r="C283" t="s">
        <v>43</v>
      </c>
      <c r="D283" s="2">
        <v>146.80000000000001</v>
      </c>
      <c r="E283" s="2">
        <v>191</v>
      </c>
      <c r="F283" s="2">
        <v>173.6</v>
      </c>
      <c r="G283" s="2">
        <v>153.80000000000001</v>
      </c>
      <c r="H283" s="2">
        <v>142.69999999999999</v>
      </c>
      <c r="I283" s="2">
        <v>148.4</v>
      </c>
      <c r="J283" s="2">
        <v>230</v>
      </c>
      <c r="K283" s="2">
        <v>156.80000000000001</v>
      </c>
      <c r="L283" s="2">
        <v>115.7</v>
      </c>
      <c r="M283" s="2">
        <v>161.80000000000001</v>
      </c>
      <c r="N283" s="2">
        <v>146.5</v>
      </c>
      <c r="O283" s="2">
        <v>163.80000000000001</v>
      </c>
      <c r="P283" s="2">
        <v>164.7</v>
      </c>
      <c r="Q283" s="2">
        <v>184.8</v>
      </c>
      <c r="R283" s="2">
        <v>154.30000000000001</v>
      </c>
      <c r="S283" s="2">
        <v>144.9</v>
      </c>
      <c r="T283" s="2">
        <v>152.80000000000001</v>
      </c>
      <c r="U283" s="2">
        <v>158</v>
      </c>
      <c r="V283" s="2">
        <v>143.6</v>
      </c>
      <c r="W283" s="2">
        <v>149.19999999999999</v>
      </c>
      <c r="X283" s="2">
        <v>157.19999999999999</v>
      </c>
      <c r="Y283" s="2">
        <v>140.4</v>
      </c>
      <c r="Z283" s="2">
        <v>148.4</v>
      </c>
      <c r="AA283" s="2">
        <v>158.6</v>
      </c>
      <c r="AB283" s="2">
        <v>156.9</v>
      </c>
      <c r="AC283" s="2">
        <v>150.69999999999999</v>
      </c>
      <c r="AD283" s="2">
        <f>AVERAGE(All_India_Index_Upto_April23_CPI_data[[#This Row],[Cereals and products]:[Food and beverages]])</f>
        <v>161.19999999999999</v>
      </c>
      <c r="AE283" s="2">
        <f>AVERAGE(All_India_Index_Upto_April23_CPI_data[[#This Row],[Recreation and amusement]],All_India_Index_Upto_April23_CPI_data[[#This Row],[Pan, tobacco and intoxicants]])</f>
        <v>166.60000000000002</v>
      </c>
      <c r="AF283" s="2">
        <f>AVERAGE(All_India_Index_Upto_April23_CPI_data[[#This Row],[Household goods and services]],All_India_Index_Upto_April23_CPI_data[[#This Row],[Housing]])</f>
        <v>153.6</v>
      </c>
      <c r="AG283" s="2">
        <f>AVERAGE(All_India_Index_Upto_April23_CPI_data[[#This Row],[Personal care and effects]],All_India_Index_Upto_April23_CPI_data[[#This Row],[Health]])</f>
        <v>157.05000000000001</v>
      </c>
      <c r="AH283" s="2">
        <f>AVERAGE(All_India_Index_Upto_April23_CPI_data[[#This Row],[Clothing]:[Clothing and footwear]])</f>
        <v>150.66666666666669</v>
      </c>
      <c r="AI283" s="2">
        <v>158.4</v>
      </c>
      <c r="AJ283" s="1">
        <f>(All_India_Index_Upto_April23_CPI_data[[#This Row],[General index]]-AI280)/AI280</f>
        <v>1.278772378516624E-2</v>
      </c>
    </row>
    <row r="284" spans="1:36" x14ac:dyDescent="0.25">
      <c r="A284" t="s">
        <v>30</v>
      </c>
      <c r="B284">
        <v>2020</v>
      </c>
      <c r="C284" t="s">
        <v>44</v>
      </c>
      <c r="D284" s="2">
        <v>144.6</v>
      </c>
      <c r="E284" s="2">
        <v>188.5</v>
      </c>
      <c r="F284" s="2">
        <v>173.4</v>
      </c>
      <c r="G284" s="2">
        <v>154</v>
      </c>
      <c r="H284" s="2">
        <v>150</v>
      </c>
      <c r="I284" s="2">
        <v>145.9</v>
      </c>
      <c r="J284" s="2">
        <v>225.2</v>
      </c>
      <c r="K284" s="2">
        <v>159.5</v>
      </c>
      <c r="L284" s="2">
        <v>114.4</v>
      </c>
      <c r="M284" s="2">
        <v>163.5</v>
      </c>
      <c r="N284" s="2">
        <v>153.4</v>
      </c>
      <c r="O284" s="2">
        <v>163.6</v>
      </c>
      <c r="P284" s="2">
        <v>164.5</v>
      </c>
      <c r="Q284" s="2">
        <v>183.6</v>
      </c>
      <c r="R284" s="2">
        <v>157</v>
      </c>
      <c r="S284" s="2">
        <v>151.6</v>
      </c>
      <c r="T284" s="2">
        <v>156.30000000000001</v>
      </c>
      <c r="U284" s="2">
        <v>0</v>
      </c>
      <c r="V284" s="2">
        <v>148.69999999999999</v>
      </c>
      <c r="W284" s="2">
        <v>153.4</v>
      </c>
      <c r="X284" s="2">
        <v>161.6</v>
      </c>
      <c r="Y284" s="2">
        <v>146.4</v>
      </c>
      <c r="Z284" s="2">
        <v>153.9</v>
      </c>
      <c r="AA284" s="2">
        <v>162.9</v>
      </c>
      <c r="AB284" s="2">
        <v>156.6</v>
      </c>
      <c r="AC284" s="2">
        <v>155.19999999999999</v>
      </c>
      <c r="AD284" s="2">
        <f>AVERAGE(All_India_Index_Upto_April23_CPI_data[[#This Row],[Cereals and products]:[Food and beverages]])</f>
        <v>161.57692307692307</v>
      </c>
      <c r="AE284" s="2">
        <f>AVERAGE(All_India_Index_Upto_April23_CPI_data[[#This Row],[Recreation and amusement]],All_India_Index_Upto_April23_CPI_data[[#This Row],[Pan, tobacco and intoxicants]])</f>
        <v>168.75</v>
      </c>
      <c r="AF284" s="2">
        <f>AVERAGE(All_India_Index_Upto_April23_CPI_data[[#This Row],[Household goods and services]],All_India_Index_Upto_April23_CPI_data[[#This Row],[Housing]])</f>
        <v>76.7</v>
      </c>
      <c r="AG284" s="2">
        <f>AVERAGE(All_India_Index_Upto_April23_CPI_data[[#This Row],[Personal care and effects]],All_India_Index_Upto_April23_CPI_data[[#This Row],[Health]])</f>
        <v>159.1</v>
      </c>
      <c r="AH284" s="2">
        <f>AVERAGE(All_India_Index_Upto_April23_CPI_data[[#This Row],[Clothing]:[Clothing and footwear]])</f>
        <v>154.96666666666667</v>
      </c>
      <c r="AI284" s="2">
        <v>160.69999999999999</v>
      </c>
      <c r="AJ284" s="1">
        <f>(All_India_Index_Upto_April23_CPI_data[[#This Row],[General index]]-AI281)/AI281</f>
        <v>5.6320400500624356E-3</v>
      </c>
    </row>
    <row r="285" spans="1:36" x14ac:dyDescent="0.25">
      <c r="A285" t="s">
        <v>32</v>
      </c>
      <c r="B285">
        <v>2020</v>
      </c>
      <c r="C285" t="s">
        <v>44</v>
      </c>
      <c r="D285" s="2">
        <v>149</v>
      </c>
      <c r="E285" s="2">
        <v>195.7</v>
      </c>
      <c r="F285" s="2">
        <v>178.3</v>
      </c>
      <c r="G285" s="2">
        <v>154.19999999999999</v>
      </c>
      <c r="H285" s="2">
        <v>140.69999999999999</v>
      </c>
      <c r="I285" s="2">
        <v>149.69999999999999</v>
      </c>
      <c r="J285" s="2">
        <v>240.9</v>
      </c>
      <c r="K285" s="2">
        <v>161.5</v>
      </c>
      <c r="L285" s="2">
        <v>117.1</v>
      </c>
      <c r="M285" s="2">
        <v>161.9</v>
      </c>
      <c r="N285" s="2">
        <v>143.30000000000001</v>
      </c>
      <c r="O285" s="2">
        <v>166.1</v>
      </c>
      <c r="P285" s="2">
        <v>167</v>
      </c>
      <c r="Q285" s="2">
        <v>190.2</v>
      </c>
      <c r="R285" s="2">
        <v>151.9</v>
      </c>
      <c r="S285" s="2">
        <v>136.69999999999999</v>
      </c>
      <c r="T285" s="2">
        <v>149.6</v>
      </c>
      <c r="U285" s="2">
        <v>158.4</v>
      </c>
      <c r="V285" s="2">
        <v>137.9</v>
      </c>
      <c r="W285" s="2">
        <v>145.5</v>
      </c>
      <c r="X285" s="2">
        <v>152.9</v>
      </c>
      <c r="Y285" s="2">
        <v>135.5</v>
      </c>
      <c r="Z285" s="2">
        <v>144.30000000000001</v>
      </c>
      <c r="AA285" s="2">
        <v>156.9</v>
      </c>
      <c r="AB285" s="2">
        <v>157.9</v>
      </c>
      <c r="AC285" s="2">
        <v>146.9</v>
      </c>
      <c r="AD285" s="2">
        <f>AVERAGE(All_India_Index_Upto_April23_CPI_data[[#This Row],[Cereals and products]:[Food and beverages]])</f>
        <v>163.49230769230769</v>
      </c>
      <c r="AE285" s="2">
        <f>AVERAGE(All_India_Index_Upto_April23_CPI_data[[#This Row],[Recreation and amusement]],All_India_Index_Upto_April23_CPI_data[[#This Row],[Pan, tobacco and intoxicants]])</f>
        <v>167.25</v>
      </c>
      <c r="AF285" s="2">
        <f>AVERAGE(All_India_Index_Upto_April23_CPI_data[[#This Row],[Household goods and services]],All_India_Index_Upto_April23_CPI_data[[#This Row],[Housing]])</f>
        <v>151.94999999999999</v>
      </c>
      <c r="AG285" s="2">
        <f>AVERAGE(All_India_Index_Upto_April23_CPI_data[[#This Row],[Personal care and effects]],All_India_Index_Upto_April23_CPI_data[[#This Row],[Health]])</f>
        <v>155.4</v>
      </c>
      <c r="AH285" s="2">
        <f>AVERAGE(All_India_Index_Upto_April23_CPI_data[[#This Row],[Clothing]:[Clothing and footwear]])</f>
        <v>146.06666666666669</v>
      </c>
      <c r="AI285" s="2">
        <v>156.9</v>
      </c>
      <c r="AJ285" s="1">
        <f>(All_India_Index_Upto_April23_CPI_data[[#This Row],[General index]]-AI282)/AI282</f>
        <v>1.2763241863434401E-3</v>
      </c>
    </row>
    <row r="286" spans="1:36" x14ac:dyDescent="0.25">
      <c r="A286" t="s">
        <v>33</v>
      </c>
      <c r="B286">
        <v>2020</v>
      </c>
      <c r="C286" t="s">
        <v>44</v>
      </c>
      <c r="D286" s="2">
        <v>146</v>
      </c>
      <c r="E286" s="2">
        <v>191</v>
      </c>
      <c r="F286" s="2">
        <v>175.3</v>
      </c>
      <c r="G286" s="2">
        <v>154.1</v>
      </c>
      <c r="H286" s="2">
        <v>146.6</v>
      </c>
      <c r="I286" s="2">
        <v>147.69999999999999</v>
      </c>
      <c r="J286" s="2">
        <v>230.5</v>
      </c>
      <c r="K286" s="2">
        <v>160.19999999999999</v>
      </c>
      <c r="L286" s="2">
        <v>115.3</v>
      </c>
      <c r="M286" s="2">
        <v>163</v>
      </c>
      <c r="N286" s="2">
        <v>149.19999999999999</v>
      </c>
      <c r="O286" s="2">
        <v>164.8</v>
      </c>
      <c r="P286" s="2">
        <v>165.4</v>
      </c>
      <c r="Q286" s="2">
        <v>185.4</v>
      </c>
      <c r="R286" s="2">
        <v>155</v>
      </c>
      <c r="S286" s="2">
        <v>145.4</v>
      </c>
      <c r="T286" s="2">
        <v>153.6</v>
      </c>
      <c r="U286" s="2">
        <v>158.4</v>
      </c>
      <c r="V286" s="2">
        <v>144.6</v>
      </c>
      <c r="W286" s="2">
        <v>149.69999999999999</v>
      </c>
      <c r="X286" s="2">
        <v>158.30000000000001</v>
      </c>
      <c r="Y286" s="2">
        <v>140.69999999999999</v>
      </c>
      <c r="Z286" s="2">
        <v>148.5</v>
      </c>
      <c r="AA286" s="2">
        <v>159.4</v>
      </c>
      <c r="AB286" s="2">
        <v>157.1</v>
      </c>
      <c r="AC286" s="2">
        <v>151.19999999999999</v>
      </c>
      <c r="AD286" s="2">
        <f>AVERAGE(All_India_Index_Upto_April23_CPI_data[[#This Row],[Cereals and products]:[Food and beverages]])</f>
        <v>162.23846153846154</v>
      </c>
      <c r="AE286" s="2">
        <f>AVERAGE(All_India_Index_Upto_April23_CPI_data[[#This Row],[Recreation and amusement]],All_India_Index_Upto_April23_CPI_data[[#This Row],[Pan, tobacco and intoxicants]])</f>
        <v>166.95</v>
      </c>
      <c r="AF286" s="2">
        <f>AVERAGE(All_India_Index_Upto_April23_CPI_data[[#This Row],[Household goods and services]],All_India_Index_Upto_April23_CPI_data[[#This Row],[Housing]])</f>
        <v>154.05000000000001</v>
      </c>
      <c r="AG286" s="2">
        <f>AVERAGE(All_India_Index_Upto_April23_CPI_data[[#This Row],[Personal care and effects]],All_India_Index_Upto_April23_CPI_data[[#This Row],[Health]])</f>
        <v>157.69999999999999</v>
      </c>
      <c r="AH286" s="2">
        <f>AVERAGE(All_India_Index_Upto_April23_CPI_data[[#This Row],[Clothing]:[Clothing and footwear]])</f>
        <v>151.33333333333334</v>
      </c>
      <c r="AI286" s="2">
        <v>158.9</v>
      </c>
      <c r="AJ286" s="1">
        <f>(All_India_Index_Upto_April23_CPI_data[[#This Row],[General index]]-AI283)/AI283</f>
        <v>3.1565656565656565E-3</v>
      </c>
    </row>
    <row r="287" spans="1:36" x14ac:dyDescent="0.25">
      <c r="A287" t="s">
        <v>30</v>
      </c>
      <c r="B287">
        <v>2021</v>
      </c>
      <c r="C287" t="s">
        <v>31</v>
      </c>
      <c r="D287" s="2">
        <v>143.4</v>
      </c>
      <c r="E287" s="2">
        <v>187.5</v>
      </c>
      <c r="F287" s="2">
        <v>173.4</v>
      </c>
      <c r="G287" s="2">
        <v>154</v>
      </c>
      <c r="H287" s="2">
        <v>154.80000000000001</v>
      </c>
      <c r="I287" s="2">
        <v>147</v>
      </c>
      <c r="J287" s="2">
        <v>187.8</v>
      </c>
      <c r="K287" s="2">
        <v>159.5</v>
      </c>
      <c r="L287" s="2">
        <v>113.8</v>
      </c>
      <c r="M287" s="2">
        <v>164.5</v>
      </c>
      <c r="N287" s="2">
        <v>156.1</v>
      </c>
      <c r="O287" s="2">
        <v>164.3</v>
      </c>
      <c r="P287" s="2">
        <v>159.6</v>
      </c>
      <c r="Q287" s="2">
        <v>184.6</v>
      </c>
      <c r="R287" s="2">
        <v>157.5</v>
      </c>
      <c r="S287" s="2">
        <v>152.4</v>
      </c>
      <c r="T287" s="2">
        <v>156.80000000000001</v>
      </c>
      <c r="U287" s="2">
        <v>0</v>
      </c>
      <c r="V287" s="2">
        <v>150.9</v>
      </c>
      <c r="W287" s="2">
        <v>153.9</v>
      </c>
      <c r="X287" s="2">
        <v>162.5</v>
      </c>
      <c r="Y287" s="2">
        <v>147.5</v>
      </c>
      <c r="Z287" s="2">
        <v>155.1</v>
      </c>
      <c r="AA287" s="2">
        <v>163.5</v>
      </c>
      <c r="AB287" s="2">
        <v>156.19999999999999</v>
      </c>
      <c r="AC287" s="2">
        <v>155.9</v>
      </c>
      <c r="AD287" s="2">
        <f>AVERAGE(All_India_Index_Upto_April23_CPI_data[[#This Row],[Cereals and products]:[Food and beverages]])</f>
        <v>158.89999999999998</v>
      </c>
      <c r="AE287" s="2">
        <f>AVERAGE(All_India_Index_Upto_April23_CPI_data[[#This Row],[Recreation and amusement]],All_India_Index_Upto_April23_CPI_data[[#This Row],[Pan, tobacco and intoxicants]])</f>
        <v>169.85</v>
      </c>
      <c r="AF287" s="2">
        <f>AVERAGE(All_India_Index_Upto_April23_CPI_data[[#This Row],[Household goods and services]],All_India_Index_Upto_April23_CPI_data[[#This Row],[Housing]])</f>
        <v>76.95</v>
      </c>
      <c r="AG287" s="2">
        <f>AVERAGE(All_India_Index_Upto_April23_CPI_data[[#This Row],[Personal care and effects]],All_India_Index_Upto_April23_CPI_data[[#This Row],[Health]])</f>
        <v>159.35</v>
      </c>
      <c r="AH287" s="2">
        <f>AVERAGE(All_India_Index_Upto_April23_CPI_data[[#This Row],[Clothing]:[Clothing and footwear]])</f>
        <v>155.56666666666666</v>
      </c>
      <c r="AI287" s="2">
        <v>158.5</v>
      </c>
      <c r="AJ287" s="1">
        <f>(All_India_Index_Upto_April23_CPI_data[[#This Row],[General index]]-AI284)/AI284</f>
        <v>-1.3690105787181012E-2</v>
      </c>
    </row>
    <row r="288" spans="1:36" x14ac:dyDescent="0.25">
      <c r="A288" t="s">
        <v>32</v>
      </c>
      <c r="B288">
        <v>2021</v>
      </c>
      <c r="C288" t="s">
        <v>31</v>
      </c>
      <c r="D288" s="2">
        <v>148</v>
      </c>
      <c r="E288" s="2">
        <v>194.8</v>
      </c>
      <c r="F288" s="2">
        <v>178.4</v>
      </c>
      <c r="G288" s="2">
        <v>154.4</v>
      </c>
      <c r="H288" s="2">
        <v>144.1</v>
      </c>
      <c r="I288" s="2">
        <v>152.6</v>
      </c>
      <c r="J288" s="2">
        <v>206.8</v>
      </c>
      <c r="K288" s="2">
        <v>162.1</v>
      </c>
      <c r="L288" s="2">
        <v>116.3</v>
      </c>
      <c r="M288" s="2">
        <v>163</v>
      </c>
      <c r="N288" s="2">
        <v>145.9</v>
      </c>
      <c r="O288" s="2">
        <v>167.2</v>
      </c>
      <c r="P288" s="2">
        <v>163.4</v>
      </c>
      <c r="Q288" s="2">
        <v>191.8</v>
      </c>
      <c r="R288" s="2">
        <v>152.5</v>
      </c>
      <c r="S288" s="2">
        <v>137.30000000000001</v>
      </c>
      <c r="T288" s="2">
        <v>150.19999999999999</v>
      </c>
      <c r="U288" s="2">
        <v>157.69999999999999</v>
      </c>
      <c r="V288" s="2">
        <v>142.9</v>
      </c>
      <c r="W288" s="2">
        <v>145.69999999999999</v>
      </c>
      <c r="X288" s="2">
        <v>154.1</v>
      </c>
      <c r="Y288" s="2">
        <v>136.9</v>
      </c>
      <c r="Z288" s="2">
        <v>145.4</v>
      </c>
      <c r="AA288" s="2">
        <v>156.1</v>
      </c>
      <c r="AB288" s="2">
        <v>157.69999999999999</v>
      </c>
      <c r="AC288" s="2">
        <v>147.6</v>
      </c>
      <c r="AD288" s="2">
        <f>AVERAGE(All_India_Index_Upto_April23_CPI_data[[#This Row],[Cereals and products]:[Food and beverages]])</f>
        <v>161.30769230769232</v>
      </c>
      <c r="AE288" s="2">
        <f>AVERAGE(All_India_Index_Upto_April23_CPI_data[[#This Row],[Recreation and amusement]],All_India_Index_Upto_April23_CPI_data[[#This Row],[Pan, tobacco and intoxicants]])</f>
        <v>168.60000000000002</v>
      </c>
      <c r="AF288" s="2">
        <f>AVERAGE(All_India_Index_Upto_April23_CPI_data[[#This Row],[Household goods and services]],All_India_Index_Upto_April23_CPI_data[[#This Row],[Housing]])</f>
        <v>151.69999999999999</v>
      </c>
      <c r="AG288" s="2">
        <f>AVERAGE(All_India_Index_Upto_April23_CPI_data[[#This Row],[Personal care and effects]],All_India_Index_Upto_April23_CPI_data[[#This Row],[Health]])</f>
        <v>155.89999999999998</v>
      </c>
      <c r="AH288" s="2">
        <f>AVERAGE(All_India_Index_Upto_April23_CPI_data[[#This Row],[Clothing]:[Clothing and footwear]])</f>
        <v>146.66666666666666</v>
      </c>
      <c r="AI288" s="2">
        <v>156</v>
      </c>
      <c r="AJ288" s="1">
        <f>(All_India_Index_Upto_April23_CPI_data[[#This Row],[General index]]-AI285)/AI285</f>
        <v>-5.7361376673040511E-3</v>
      </c>
    </row>
    <row r="289" spans="1:36" x14ac:dyDescent="0.25">
      <c r="A289" t="s">
        <v>33</v>
      </c>
      <c r="B289">
        <v>2021</v>
      </c>
      <c r="C289" t="s">
        <v>31</v>
      </c>
      <c r="D289" s="2">
        <v>144.9</v>
      </c>
      <c r="E289" s="2">
        <v>190.1</v>
      </c>
      <c r="F289" s="2">
        <v>175.3</v>
      </c>
      <c r="G289" s="2">
        <v>154.1</v>
      </c>
      <c r="H289" s="2">
        <v>150.9</v>
      </c>
      <c r="I289" s="2">
        <v>149.6</v>
      </c>
      <c r="J289" s="2">
        <v>194.2</v>
      </c>
      <c r="K289" s="2">
        <v>160.4</v>
      </c>
      <c r="L289" s="2">
        <v>114.6</v>
      </c>
      <c r="M289" s="2">
        <v>164</v>
      </c>
      <c r="N289" s="2">
        <v>151.80000000000001</v>
      </c>
      <c r="O289" s="2">
        <v>165.6</v>
      </c>
      <c r="P289" s="2">
        <v>161</v>
      </c>
      <c r="Q289" s="2">
        <v>186.5</v>
      </c>
      <c r="R289" s="2">
        <v>155.5</v>
      </c>
      <c r="S289" s="2">
        <v>146.1</v>
      </c>
      <c r="T289" s="2">
        <v>154.19999999999999</v>
      </c>
      <c r="U289" s="2">
        <v>157.69999999999999</v>
      </c>
      <c r="V289" s="2">
        <v>147.9</v>
      </c>
      <c r="W289" s="2">
        <v>150</v>
      </c>
      <c r="X289" s="2">
        <v>159.30000000000001</v>
      </c>
      <c r="Y289" s="2">
        <v>141.9</v>
      </c>
      <c r="Z289" s="2">
        <v>149.6</v>
      </c>
      <c r="AA289" s="2">
        <v>159.19999999999999</v>
      </c>
      <c r="AB289" s="2">
        <v>156.80000000000001</v>
      </c>
      <c r="AC289" s="2">
        <v>151.9</v>
      </c>
      <c r="AD289" s="2">
        <f>AVERAGE(All_India_Index_Upto_April23_CPI_data[[#This Row],[Cereals and products]:[Food and beverages]])</f>
        <v>159.73076923076923</v>
      </c>
      <c r="AE289" s="2">
        <f>AVERAGE(All_India_Index_Upto_April23_CPI_data[[#This Row],[Recreation and amusement]],All_India_Index_Upto_April23_CPI_data[[#This Row],[Pan, tobacco and intoxicants]])</f>
        <v>168.05</v>
      </c>
      <c r="AF289" s="2">
        <f>AVERAGE(All_India_Index_Upto_April23_CPI_data[[#This Row],[Household goods and services]],All_India_Index_Upto_April23_CPI_data[[#This Row],[Housing]])</f>
        <v>153.85</v>
      </c>
      <c r="AG289" s="2">
        <f>AVERAGE(All_India_Index_Upto_April23_CPI_data[[#This Row],[Personal care and effects]],All_India_Index_Upto_April23_CPI_data[[#This Row],[Health]])</f>
        <v>158.05000000000001</v>
      </c>
      <c r="AH289" s="2">
        <f>AVERAGE(All_India_Index_Upto_April23_CPI_data[[#This Row],[Clothing]:[Clothing and footwear]])</f>
        <v>151.93333333333334</v>
      </c>
      <c r="AI289" s="2">
        <v>157.30000000000001</v>
      </c>
      <c r="AJ289" s="1">
        <f>(All_India_Index_Upto_April23_CPI_data[[#This Row],[General index]]-AI286)/AI286</f>
        <v>-1.006922592825673E-2</v>
      </c>
    </row>
    <row r="290" spans="1:36" x14ac:dyDescent="0.25">
      <c r="A290" t="s">
        <v>30</v>
      </c>
      <c r="B290">
        <v>2021</v>
      </c>
      <c r="C290" t="s">
        <v>34</v>
      </c>
      <c r="D290" s="2">
        <v>142.80000000000001</v>
      </c>
      <c r="E290" s="2">
        <v>184</v>
      </c>
      <c r="F290" s="2">
        <v>168</v>
      </c>
      <c r="G290" s="2">
        <v>154.4</v>
      </c>
      <c r="H290" s="2">
        <v>163</v>
      </c>
      <c r="I290" s="2">
        <v>147.80000000000001</v>
      </c>
      <c r="J290" s="2">
        <v>149.69999999999999</v>
      </c>
      <c r="K290" s="2">
        <v>158.30000000000001</v>
      </c>
      <c r="L290" s="2">
        <v>111.8</v>
      </c>
      <c r="M290" s="2">
        <v>165</v>
      </c>
      <c r="N290" s="2">
        <v>160</v>
      </c>
      <c r="O290" s="2">
        <v>165.8</v>
      </c>
      <c r="P290" s="2">
        <v>154.69999999999999</v>
      </c>
      <c r="Q290" s="2">
        <v>186.5</v>
      </c>
      <c r="R290" s="2">
        <v>159.1</v>
      </c>
      <c r="S290" s="2">
        <v>153.9</v>
      </c>
      <c r="T290" s="2">
        <v>158.4</v>
      </c>
      <c r="U290" s="2">
        <v>0</v>
      </c>
      <c r="V290" s="2">
        <v>154.4</v>
      </c>
      <c r="W290" s="2">
        <v>154.80000000000001</v>
      </c>
      <c r="X290" s="2">
        <v>164.3</v>
      </c>
      <c r="Y290" s="2">
        <v>150.19999999999999</v>
      </c>
      <c r="Z290" s="2">
        <v>157</v>
      </c>
      <c r="AA290" s="2">
        <v>163.6</v>
      </c>
      <c r="AB290" s="2">
        <v>155.19999999999999</v>
      </c>
      <c r="AC290" s="2">
        <v>157.19999999999999</v>
      </c>
      <c r="AD290" s="2">
        <f>AVERAGE(All_India_Index_Upto_April23_CPI_data[[#This Row],[Cereals and products]:[Food and beverages]])</f>
        <v>155.7923076923077</v>
      </c>
      <c r="AE290" s="2">
        <f>AVERAGE(All_India_Index_Upto_April23_CPI_data[[#This Row],[Recreation and amusement]],All_India_Index_Upto_April23_CPI_data[[#This Row],[Pan, tobacco and intoxicants]])</f>
        <v>171.75</v>
      </c>
      <c r="AF290" s="2">
        <f>AVERAGE(All_India_Index_Upto_April23_CPI_data[[#This Row],[Household goods and services]],All_India_Index_Upto_April23_CPI_data[[#This Row],[Housing]])</f>
        <v>77.400000000000006</v>
      </c>
      <c r="AG290" s="2">
        <f>AVERAGE(All_India_Index_Upto_April23_CPI_data[[#This Row],[Personal care and effects]],All_India_Index_Upto_April23_CPI_data[[#This Row],[Health]])</f>
        <v>159.75</v>
      </c>
      <c r="AH290" s="2">
        <f>AVERAGE(All_India_Index_Upto_April23_CPI_data[[#This Row],[Clothing]:[Clothing and footwear]])</f>
        <v>157.13333333333333</v>
      </c>
      <c r="AI290" s="2">
        <v>156.69999999999999</v>
      </c>
      <c r="AJ290" s="1">
        <f>(All_India_Index_Upto_April23_CPI_data[[#This Row],[General index]]-AI287)/AI287</f>
        <v>-1.135646687697168E-2</v>
      </c>
    </row>
    <row r="291" spans="1:36" x14ac:dyDescent="0.25">
      <c r="A291" t="s">
        <v>32</v>
      </c>
      <c r="B291">
        <v>2021</v>
      </c>
      <c r="C291" t="s">
        <v>34</v>
      </c>
      <c r="D291" s="2">
        <v>147.6</v>
      </c>
      <c r="E291" s="2">
        <v>191.2</v>
      </c>
      <c r="F291" s="2">
        <v>169.9</v>
      </c>
      <c r="G291" s="2">
        <v>155.1</v>
      </c>
      <c r="H291" s="2">
        <v>151.4</v>
      </c>
      <c r="I291" s="2">
        <v>154</v>
      </c>
      <c r="J291" s="2">
        <v>180.2</v>
      </c>
      <c r="K291" s="2">
        <v>159.80000000000001</v>
      </c>
      <c r="L291" s="2">
        <v>114.9</v>
      </c>
      <c r="M291" s="2">
        <v>162.5</v>
      </c>
      <c r="N291" s="2">
        <v>149.19999999999999</v>
      </c>
      <c r="O291" s="2">
        <v>169.4</v>
      </c>
      <c r="P291" s="2">
        <v>160.80000000000001</v>
      </c>
      <c r="Q291" s="2">
        <v>193.3</v>
      </c>
      <c r="R291" s="2">
        <v>154.19999999999999</v>
      </c>
      <c r="S291" s="2">
        <v>138.19999999999999</v>
      </c>
      <c r="T291" s="2">
        <v>151.80000000000001</v>
      </c>
      <c r="U291" s="2">
        <v>159.80000000000001</v>
      </c>
      <c r="V291" s="2">
        <v>149.1</v>
      </c>
      <c r="W291" s="2">
        <v>146.5</v>
      </c>
      <c r="X291" s="2">
        <v>156.30000000000001</v>
      </c>
      <c r="Y291" s="2">
        <v>140.5</v>
      </c>
      <c r="Z291" s="2">
        <v>147.30000000000001</v>
      </c>
      <c r="AA291" s="2">
        <v>156.6</v>
      </c>
      <c r="AB291" s="2">
        <v>156.69999999999999</v>
      </c>
      <c r="AC291" s="2">
        <v>149.30000000000001</v>
      </c>
      <c r="AD291" s="2">
        <f>AVERAGE(All_India_Index_Upto_April23_CPI_data[[#This Row],[Cereals and products]:[Food and beverages]])</f>
        <v>158.92307692307693</v>
      </c>
      <c r="AE291" s="2">
        <f>AVERAGE(All_India_Index_Upto_April23_CPI_data[[#This Row],[Recreation and amusement]],All_India_Index_Upto_April23_CPI_data[[#This Row],[Pan, tobacco and intoxicants]])</f>
        <v>170.3</v>
      </c>
      <c r="AF291" s="2">
        <f>AVERAGE(All_India_Index_Upto_April23_CPI_data[[#This Row],[Household goods and services]],All_India_Index_Upto_April23_CPI_data[[#This Row],[Housing]])</f>
        <v>153.15</v>
      </c>
      <c r="AG291" s="2">
        <f>AVERAGE(All_India_Index_Upto_April23_CPI_data[[#This Row],[Personal care and effects]],All_India_Index_Upto_April23_CPI_data[[#This Row],[Health]])</f>
        <v>156.5</v>
      </c>
      <c r="AH291" s="2">
        <f>AVERAGE(All_India_Index_Upto_April23_CPI_data[[#This Row],[Clothing]:[Clothing and footwear]])</f>
        <v>148.06666666666666</v>
      </c>
      <c r="AI291" s="2">
        <v>156.5</v>
      </c>
      <c r="AJ291" s="1">
        <f>(All_India_Index_Upto_April23_CPI_data[[#This Row],[General index]]-AI288)/AI288</f>
        <v>3.205128205128205E-3</v>
      </c>
    </row>
    <row r="292" spans="1:36" x14ac:dyDescent="0.25">
      <c r="A292" t="s">
        <v>33</v>
      </c>
      <c r="B292">
        <v>2021</v>
      </c>
      <c r="C292" t="s">
        <v>34</v>
      </c>
      <c r="D292" s="2">
        <v>144.30000000000001</v>
      </c>
      <c r="E292" s="2">
        <v>186.5</v>
      </c>
      <c r="F292" s="2">
        <v>168.7</v>
      </c>
      <c r="G292" s="2">
        <v>154.69999999999999</v>
      </c>
      <c r="H292" s="2">
        <v>158.69999999999999</v>
      </c>
      <c r="I292" s="2">
        <v>150.69999999999999</v>
      </c>
      <c r="J292" s="2">
        <v>160</v>
      </c>
      <c r="K292" s="2">
        <v>158.80000000000001</v>
      </c>
      <c r="L292" s="2">
        <v>112.8</v>
      </c>
      <c r="M292" s="2">
        <v>164.2</v>
      </c>
      <c r="N292" s="2">
        <v>155.5</v>
      </c>
      <c r="O292" s="2">
        <v>167.5</v>
      </c>
      <c r="P292" s="2">
        <v>156.9</v>
      </c>
      <c r="Q292" s="2">
        <v>188.3</v>
      </c>
      <c r="R292" s="2">
        <v>157.19999999999999</v>
      </c>
      <c r="S292" s="2">
        <v>147.4</v>
      </c>
      <c r="T292" s="2">
        <v>155.80000000000001</v>
      </c>
      <c r="U292" s="2">
        <v>159.80000000000001</v>
      </c>
      <c r="V292" s="2">
        <v>152.4</v>
      </c>
      <c r="W292" s="2">
        <v>150.9</v>
      </c>
      <c r="X292" s="2">
        <v>161.30000000000001</v>
      </c>
      <c r="Y292" s="2">
        <v>145.1</v>
      </c>
      <c r="Z292" s="2">
        <v>151.5</v>
      </c>
      <c r="AA292" s="2">
        <v>159.5</v>
      </c>
      <c r="AB292" s="2">
        <v>155.80000000000001</v>
      </c>
      <c r="AC292" s="2">
        <v>153.4</v>
      </c>
      <c r="AD292" s="2">
        <f>AVERAGE(All_India_Index_Upto_April23_CPI_data[[#This Row],[Cereals and products]:[Food and beverages]])</f>
        <v>156.8692307692308</v>
      </c>
      <c r="AE292" s="2">
        <f>AVERAGE(All_India_Index_Upto_April23_CPI_data[[#This Row],[Recreation and amusement]],All_India_Index_Upto_April23_CPI_data[[#This Row],[Pan, tobacco and intoxicants]])</f>
        <v>169.9</v>
      </c>
      <c r="AF292" s="2">
        <f>AVERAGE(All_India_Index_Upto_April23_CPI_data[[#This Row],[Household goods and services]],All_India_Index_Upto_April23_CPI_data[[#This Row],[Housing]])</f>
        <v>155.35000000000002</v>
      </c>
      <c r="AG292" s="2">
        <f>AVERAGE(All_India_Index_Upto_April23_CPI_data[[#This Row],[Personal care and effects]],All_India_Index_Upto_April23_CPI_data[[#This Row],[Health]])</f>
        <v>158.55000000000001</v>
      </c>
      <c r="AH292" s="2">
        <f>AVERAGE(All_India_Index_Upto_April23_CPI_data[[#This Row],[Clothing]:[Clothing and footwear]])</f>
        <v>153.46666666666667</v>
      </c>
      <c r="AI292" s="2">
        <v>156.6</v>
      </c>
      <c r="AJ292" s="1">
        <f>(All_India_Index_Upto_April23_CPI_data[[#This Row],[General index]]-AI289)/AI289</f>
        <v>-4.4500953591863762E-3</v>
      </c>
    </row>
    <row r="293" spans="1:36" x14ac:dyDescent="0.25">
      <c r="A293" t="s">
        <v>30</v>
      </c>
      <c r="B293">
        <v>2021</v>
      </c>
      <c r="C293" t="s">
        <v>35</v>
      </c>
      <c r="D293" s="2">
        <v>142.5</v>
      </c>
      <c r="E293" s="2">
        <v>189.4</v>
      </c>
      <c r="F293" s="2">
        <v>163.19999999999999</v>
      </c>
      <c r="G293" s="2">
        <v>154.5</v>
      </c>
      <c r="H293" s="2">
        <v>168.2</v>
      </c>
      <c r="I293" s="2">
        <v>150.5</v>
      </c>
      <c r="J293" s="2">
        <v>141</v>
      </c>
      <c r="K293" s="2">
        <v>159.19999999999999</v>
      </c>
      <c r="L293" s="2">
        <v>111.7</v>
      </c>
      <c r="M293" s="2">
        <v>164</v>
      </c>
      <c r="N293" s="2">
        <v>160.6</v>
      </c>
      <c r="O293" s="2">
        <v>166.4</v>
      </c>
      <c r="P293" s="2">
        <v>154.5</v>
      </c>
      <c r="Q293" s="2">
        <v>186.1</v>
      </c>
      <c r="R293" s="2">
        <v>159.6</v>
      </c>
      <c r="S293" s="2">
        <v>154.4</v>
      </c>
      <c r="T293" s="2">
        <v>158.9</v>
      </c>
      <c r="U293" s="2">
        <v>0</v>
      </c>
      <c r="V293" s="2">
        <v>156</v>
      </c>
      <c r="W293" s="2">
        <v>154.80000000000001</v>
      </c>
      <c r="X293" s="2">
        <v>164.6</v>
      </c>
      <c r="Y293" s="2">
        <v>151.30000000000001</v>
      </c>
      <c r="Z293" s="2">
        <v>157.80000000000001</v>
      </c>
      <c r="AA293" s="2">
        <v>163.80000000000001</v>
      </c>
      <c r="AB293" s="2">
        <v>153.1</v>
      </c>
      <c r="AC293" s="2">
        <v>157.30000000000001</v>
      </c>
      <c r="AD293" s="2">
        <f>AVERAGE(All_India_Index_Upto_April23_CPI_data[[#This Row],[Cereals and products]:[Food and beverages]])</f>
        <v>155.82307692307694</v>
      </c>
      <c r="AE293" s="2">
        <f>AVERAGE(All_India_Index_Upto_April23_CPI_data[[#This Row],[Recreation and amusement]],All_India_Index_Upto_April23_CPI_data[[#This Row],[Pan, tobacco and intoxicants]])</f>
        <v>171.95</v>
      </c>
      <c r="AF293" s="2">
        <f>AVERAGE(All_India_Index_Upto_April23_CPI_data[[#This Row],[Household goods and services]],All_India_Index_Upto_April23_CPI_data[[#This Row],[Housing]])</f>
        <v>77.400000000000006</v>
      </c>
      <c r="AG293" s="2">
        <f>AVERAGE(All_India_Index_Upto_April23_CPI_data[[#This Row],[Personal care and effects]],All_India_Index_Upto_April23_CPI_data[[#This Row],[Health]])</f>
        <v>158.85</v>
      </c>
      <c r="AH293" s="2">
        <f>AVERAGE(All_India_Index_Upto_April23_CPI_data[[#This Row],[Clothing]:[Clothing and footwear]])</f>
        <v>157.63333333333333</v>
      </c>
      <c r="AI293" s="2">
        <v>156.69999999999999</v>
      </c>
      <c r="AJ293" s="1">
        <f>(All_India_Index_Upto_April23_CPI_data[[#This Row],[General index]]-AI290)/AI290</f>
        <v>0</v>
      </c>
    </row>
    <row r="294" spans="1:36" x14ac:dyDescent="0.25">
      <c r="A294" t="s">
        <v>32</v>
      </c>
      <c r="B294">
        <v>2021</v>
      </c>
      <c r="C294" t="s">
        <v>35</v>
      </c>
      <c r="D294" s="2">
        <v>147.5</v>
      </c>
      <c r="E294" s="2">
        <v>197.5</v>
      </c>
      <c r="F294" s="2">
        <v>164.7</v>
      </c>
      <c r="G294" s="2">
        <v>155.6</v>
      </c>
      <c r="H294" s="2">
        <v>156.4</v>
      </c>
      <c r="I294" s="2">
        <v>157.30000000000001</v>
      </c>
      <c r="J294" s="2">
        <v>166.1</v>
      </c>
      <c r="K294" s="2">
        <v>161.1</v>
      </c>
      <c r="L294" s="2">
        <v>114.3</v>
      </c>
      <c r="M294" s="2">
        <v>162.6</v>
      </c>
      <c r="N294" s="2">
        <v>150.69999999999999</v>
      </c>
      <c r="O294" s="2">
        <v>170.3</v>
      </c>
      <c r="P294" s="2">
        <v>160.4</v>
      </c>
      <c r="Q294" s="2">
        <v>193.5</v>
      </c>
      <c r="R294" s="2">
        <v>155.1</v>
      </c>
      <c r="S294" s="2">
        <v>138.69999999999999</v>
      </c>
      <c r="T294" s="2">
        <v>152.6</v>
      </c>
      <c r="U294" s="2">
        <v>159.9</v>
      </c>
      <c r="V294" s="2">
        <v>154.80000000000001</v>
      </c>
      <c r="W294" s="2">
        <v>147.19999999999999</v>
      </c>
      <c r="X294" s="2">
        <v>156.9</v>
      </c>
      <c r="Y294" s="2">
        <v>141.69999999999999</v>
      </c>
      <c r="Z294" s="2">
        <v>148.6</v>
      </c>
      <c r="AA294" s="2">
        <v>157.6</v>
      </c>
      <c r="AB294" s="2">
        <v>154.9</v>
      </c>
      <c r="AC294" s="2">
        <v>150</v>
      </c>
      <c r="AD294" s="2">
        <f>AVERAGE(All_India_Index_Upto_April23_CPI_data[[#This Row],[Cereals and products]:[Food and beverages]])</f>
        <v>158.80769230769226</v>
      </c>
      <c r="AE294" s="2">
        <f>AVERAGE(All_India_Index_Upto_April23_CPI_data[[#This Row],[Recreation and amusement]],All_India_Index_Upto_April23_CPI_data[[#This Row],[Pan, tobacco and intoxicants]])</f>
        <v>171.05</v>
      </c>
      <c r="AF294" s="2">
        <f>AVERAGE(All_India_Index_Upto_April23_CPI_data[[#This Row],[Household goods and services]],All_India_Index_Upto_April23_CPI_data[[#This Row],[Housing]])</f>
        <v>153.55000000000001</v>
      </c>
      <c r="AG294" s="2">
        <f>AVERAGE(All_India_Index_Upto_April23_CPI_data[[#This Row],[Personal care and effects]],All_India_Index_Upto_April23_CPI_data[[#This Row],[Health]])</f>
        <v>155.9</v>
      </c>
      <c r="AH294" s="2">
        <f>AVERAGE(All_India_Index_Upto_April23_CPI_data[[#This Row],[Clothing]:[Clothing and footwear]])</f>
        <v>148.79999999999998</v>
      </c>
      <c r="AI294" s="2">
        <v>156.9</v>
      </c>
      <c r="AJ294" s="1">
        <f>(All_India_Index_Upto_April23_CPI_data[[#This Row],[General index]]-AI291)/AI291</f>
        <v>2.5559105431310269E-3</v>
      </c>
    </row>
    <row r="295" spans="1:36" x14ac:dyDescent="0.25">
      <c r="A295" t="s">
        <v>33</v>
      </c>
      <c r="B295">
        <v>2021</v>
      </c>
      <c r="C295" t="s">
        <v>35</v>
      </c>
      <c r="D295" s="2">
        <v>144.1</v>
      </c>
      <c r="E295" s="2">
        <v>192.2</v>
      </c>
      <c r="F295" s="2">
        <v>163.80000000000001</v>
      </c>
      <c r="G295" s="2">
        <v>154.9</v>
      </c>
      <c r="H295" s="2">
        <v>163.9</v>
      </c>
      <c r="I295" s="2">
        <v>153.69999999999999</v>
      </c>
      <c r="J295" s="2">
        <v>149.5</v>
      </c>
      <c r="K295" s="2">
        <v>159.80000000000001</v>
      </c>
      <c r="L295" s="2">
        <v>112.6</v>
      </c>
      <c r="M295" s="2">
        <v>163.5</v>
      </c>
      <c r="N295" s="2">
        <v>156.5</v>
      </c>
      <c r="O295" s="2">
        <v>168.2</v>
      </c>
      <c r="P295" s="2">
        <v>156.69999999999999</v>
      </c>
      <c r="Q295" s="2">
        <v>188.1</v>
      </c>
      <c r="R295" s="2">
        <v>157.80000000000001</v>
      </c>
      <c r="S295" s="2">
        <v>147.9</v>
      </c>
      <c r="T295" s="2">
        <v>156.4</v>
      </c>
      <c r="U295" s="2">
        <v>159.9</v>
      </c>
      <c r="V295" s="2">
        <v>155.5</v>
      </c>
      <c r="W295" s="2">
        <v>151.19999999999999</v>
      </c>
      <c r="X295" s="2">
        <v>161.69999999999999</v>
      </c>
      <c r="Y295" s="2">
        <v>146.19999999999999</v>
      </c>
      <c r="Z295" s="2">
        <v>152.6</v>
      </c>
      <c r="AA295" s="2">
        <v>160.19999999999999</v>
      </c>
      <c r="AB295" s="2">
        <v>153.80000000000001</v>
      </c>
      <c r="AC295" s="2">
        <v>153.80000000000001</v>
      </c>
      <c r="AD295" s="2">
        <f>AVERAGE(All_India_Index_Upto_April23_CPI_data[[#This Row],[Cereals and products]:[Food and beverages]])</f>
        <v>156.87692307692308</v>
      </c>
      <c r="AE295" s="2">
        <f>AVERAGE(All_India_Index_Upto_April23_CPI_data[[#This Row],[Recreation and amusement]],All_India_Index_Upto_April23_CPI_data[[#This Row],[Pan, tobacco and intoxicants]])</f>
        <v>170.35</v>
      </c>
      <c r="AF295" s="2">
        <f>AVERAGE(All_India_Index_Upto_April23_CPI_data[[#This Row],[Household goods and services]],All_India_Index_Upto_April23_CPI_data[[#This Row],[Housing]])</f>
        <v>155.55000000000001</v>
      </c>
      <c r="AG295" s="2">
        <f>AVERAGE(All_India_Index_Upto_April23_CPI_data[[#This Row],[Personal care and effects]],All_India_Index_Upto_April23_CPI_data[[#This Row],[Health]])</f>
        <v>157.75</v>
      </c>
      <c r="AH295" s="2">
        <f>AVERAGE(All_India_Index_Upto_April23_CPI_data[[#This Row],[Clothing]:[Clothing and footwear]])</f>
        <v>154.03333333333333</v>
      </c>
      <c r="AI295" s="2">
        <v>156.80000000000001</v>
      </c>
      <c r="AJ295" s="1">
        <f>(All_India_Index_Upto_April23_CPI_data[[#This Row],[General index]]-AI292)/AI292</f>
        <v>1.2771392081737999E-3</v>
      </c>
    </row>
    <row r="296" spans="1:36" x14ac:dyDescent="0.25">
      <c r="A296" t="s">
        <v>30</v>
      </c>
      <c r="B296">
        <v>2021</v>
      </c>
      <c r="C296" t="s">
        <v>36</v>
      </c>
      <c r="D296" s="2">
        <v>142.69999999999999</v>
      </c>
      <c r="E296" s="2">
        <v>195.5</v>
      </c>
      <c r="F296" s="2">
        <v>163.4</v>
      </c>
      <c r="G296" s="2">
        <v>155</v>
      </c>
      <c r="H296" s="2">
        <v>175.2</v>
      </c>
      <c r="I296" s="2">
        <v>160.6</v>
      </c>
      <c r="J296" s="2">
        <v>135.1</v>
      </c>
      <c r="K296" s="2">
        <v>161.1</v>
      </c>
      <c r="L296" s="2">
        <v>112.2</v>
      </c>
      <c r="M296" s="2">
        <v>164.4</v>
      </c>
      <c r="N296" s="2">
        <v>161.9</v>
      </c>
      <c r="O296" s="2">
        <v>166.8</v>
      </c>
      <c r="P296" s="2">
        <v>155.6</v>
      </c>
      <c r="Q296" s="2">
        <v>186.8</v>
      </c>
      <c r="R296" s="2">
        <v>160.69999999999999</v>
      </c>
      <c r="S296" s="2">
        <v>155.1</v>
      </c>
      <c r="T296" s="2">
        <v>159.9</v>
      </c>
      <c r="U296" s="2">
        <v>0</v>
      </c>
      <c r="V296" s="2">
        <v>156</v>
      </c>
      <c r="W296" s="2">
        <v>155.5</v>
      </c>
      <c r="X296" s="2">
        <v>165.3</v>
      </c>
      <c r="Y296" s="2">
        <v>151.69999999999999</v>
      </c>
      <c r="Z296" s="2">
        <v>158.6</v>
      </c>
      <c r="AA296" s="2">
        <v>164.1</v>
      </c>
      <c r="AB296" s="2">
        <v>154.6</v>
      </c>
      <c r="AC296" s="2">
        <v>158</v>
      </c>
      <c r="AD296" s="2">
        <f>AVERAGE(All_India_Index_Upto_April23_CPI_data[[#This Row],[Cereals and products]:[Food and beverages]])</f>
        <v>157.65384615384616</v>
      </c>
      <c r="AE296" s="2">
        <f>AVERAGE(All_India_Index_Upto_April23_CPI_data[[#This Row],[Recreation and amusement]],All_India_Index_Upto_April23_CPI_data[[#This Row],[Pan, tobacco and intoxicants]])</f>
        <v>172.7</v>
      </c>
      <c r="AF296" s="2">
        <f>AVERAGE(All_India_Index_Upto_April23_CPI_data[[#This Row],[Household goods and services]],All_India_Index_Upto_April23_CPI_data[[#This Row],[Housing]])</f>
        <v>77.75</v>
      </c>
      <c r="AG296" s="2">
        <f>AVERAGE(All_India_Index_Upto_April23_CPI_data[[#This Row],[Personal care and effects]],All_India_Index_Upto_April23_CPI_data[[#This Row],[Health]])</f>
        <v>159.94999999999999</v>
      </c>
      <c r="AH296" s="2">
        <f>AVERAGE(All_India_Index_Upto_April23_CPI_data[[#This Row],[Clothing]:[Clothing and footwear]])</f>
        <v>158.56666666666663</v>
      </c>
      <c r="AI296" s="2">
        <v>157.6</v>
      </c>
      <c r="AJ296" s="1">
        <f>(All_India_Index_Upto_April23_CPI_data[[#This Row],[General index]]-AI293)/AI293</f>
        <v>5.7434588385450267E-3</v>
      </c>
    </row>
    <row r="297" spans="1:36" x14ac:dyDescent="0.25">
      <c r="A297" t="s">
        <v>32</v>
      </c>
      <c r="B297">
        <v>2021</v>
      </c>
      <c r="C297" t="s">
        <v>36</v>
      </c>
      <c r="D297" s="2">
        <v>147.6</v>
      </c>
      <c r="E297" s="2">
        <v>202.5</v>
      </c>
      <c r="F297" s="2">
        <v>166.4</v>
      </c>
      <c r="G297" s="2">
        <v>156</v>
      </c>
      <c r="H297" s="2">
        <v>161.4</v>
      </c>
      <c r="I297" s="2">
        <v>168.8</v>
      </c>
      <c r="J297" s="2">
        <v>161.6</v>
      </c>
      <c r="K297" s="2">
        <v>162.80000000000001</v>
      </c>
      <c r="L297" s="2">
        <v>114.8</v>
      </c>
      <c r="M297" s="2">
        <v>162.80000000000001</v>
      </c>
      <c r="N297" s="2">
        <v>151.5</v>
      </c>
      <c r="O297" s="2">
        <v>171.4</v>
      </c>
      <c r="P297" s="2">
        <v>162</v>
      </c>
      <c r="Q297" s="2">
        <v>194.4</v>
      </c>
      <c r="R297" s="2">
        <v>155.9</v>
      </c>
      <c r="S297" s="2">
        <v>139.30000000000001</v>
      </c>
      <c r="T297" s="2">
        <v>153.4</v>
      </c>
      <c r="U297" s="2">
        <v>161.4</v>
      </c>
      <c r="V297" s="2">
        <v>154.9</v>
      </c>
      <c r="W297" s="2">
        <v>147.6</v>
      </c>
      <c r="X297" s="2">
        <v>157.5</v>
      </c>
      <c r="Y297" s="2">
        <v>142.1</v>
      </c>
      <c r="Z297" s="2">
        <v>149.1</v>
      </c>
      <c r="AA297" s="2">
        <v>157.6</v>
      </c>
      <c r="AB297" s="2">
        <v>156.6</v>
      </c>
      <c r="AC297" s="2">
        <v>150.5</v>
      </c>
      <c r="AD297" s="2">
        <f>AVERAGE(All_India_Index_Upto_April23_CPI_data[[#This Row],[Cereals and products]:[Food and beverages]])</f>
        <v>160.73846153846154</v>
      </c>
      <c r="AE297" s="2">
        <f>AVERAGE(All_India_Index_Upto_April23_CPI_data[[#This Row],[Recreation and amusement]],All_India_Index_Upto_April23_CPI_data[[#This Row],[Pan, tobacco and intoxicants]])</f>
        <v>171.75</v>
      </c>
      <c r="AF297" s="2">
        <f>AVERAGE(All_India_Index_Upto_April23_CPI_data[[#This Row],[Household goods and services]],All_India_Index_Upto_April23_CPI_data[[#This Row],[Housing]])</f>
        <v>154.5</v>
      </c>
      <c r="AG297" s="2">
        <f>AVERAGE(All_India_Index_Upto_April23_CPI_data[[#This Row],[Personal care and effects]],All_India_Index_Upto_April23_CPI_data[[#This Row],[Health]])</f>
        <v>157.05000000000001</v>
      </c>
      <c r="AH297" s="2">
        <f>AVERAGE(All_India_Index_Upto_April23_CPI_data[[#This Row],[Clothing]:[Clothing and footwear]])</f>
        <v>149.53333333333333</v>
      </c>
      <c r="AI297" s="2">
        <v>158</v>
      </c>
      <c r="AJ297" s="1">
        <f>(All_India_Index_Upto_April23_CPI_data[[#This Row],[General index]]-AI294)/AI294</f>
        <v>7.0108349267048713E-3</v>
      </c>
    </row>
    <row r="298" spans="1:36" x14ac:dyDescent="0.25">
      <c r="A298" t="s">
        <v>33</v>
      </c>
      <c r="B298">
        <v>2021</v>
      </c>
      <c r="C298" t="s">
        <v>36</v>
      </c>
      <c r="D298" s="2">
        <v>144.30000000000001</v>
      </c>
      <c r="E298" s="2">
        <v>198</v>
      </c>
      <c r="F298" s="2">
        <v>164.6</v>
      </c>
      <c r="G298" s="2">
        <v>155.4</v>
      </c>
      <c r="H298" s="2">
        <v>170.1</v>
      </c>
      <c r="I298" s="2">
        <v>164.4</v>
      </c>
      <c r="J298" s="2">
        <v>144.1</v>
      </c>
      <c r="K298" s="2">
        <v>161.69999999999999</v>
      </c>
      <c r="L298" s="2">
        <v>113.1</v>
      </c>
      <c r="M298" s="2">
        <v>163.9</v>
      </c>
      <c r="N298" s="2">
        <v>157.6</v>
      </c>
      <c r="O298" s="2">
        <v>168.9</v>
      </c>
      <c r="P298" s="2">
        <v>158</v>
      </c>
      <c r="Q298" s="2">
        <v>188.8</v>
      </c>
      <c r="R298" s="2">
        <v>158.80000000000001</v>
      </c>
      <c r="S298" s="2">
        <v>148.5</v>
      </c>
      <c r="T298" s="2">
        <v>157.30000000000001</v>
      </c>
      <c r="U298" s="2">
        <v>161.4</v>
      </c>
      <c r="V298" s="2">
        <v>155.6</v>
      </c>
      <c r="W298" s="2">
        <v>151.80000000000001</v>
      </c>
      <c r="X298" s="2">
        <v>162.30000000000001</v>
      </c>
      <c r="Y298" s="2">
        <v>146.6</v>
      </c>
      <c r="Z298" s="2">
        <v>153.19999999999999</v>
      </c>
      <c r="AA298" s="2">
        <v>160.30000000000001</v>
      </c>
      <c r="AB298" s="2">
        <v>155.4</v>
      </c>
      <c r="AC298" s="2">
        <v>154.4</v>
      </c>
      <c r="AD298" s="2">
        <f>AVERAGE(All_India_Index_Upto_April23_CPI_data[[#This Row],[Cereals and products]:[Food and beverages]])</f>
        <v>158.77692307692308</v>
      </c>
      <c r="AE298" s="2">
        <f>AVERAGE(All_India_Index_Upto_April23_CPI_data[[#This Row],[Recreation and amusement]],All_India_Index_Upto_April23_CPI_data[[#This Row],[Pan, tobacco and intoxicants]])</f>
        <v>171</v>
      </c>
      <c r="AF298" s="2">
        <f>AVERAGE(All_India_Index_Upto_April23_CPI_data[[#This Row],[Household goods and services]],All_India_Index_Upto_April23_CPI_data[[#This Row],[Housing]])</f>
        <v>156.60000000000002</v>
      </c>
      <c r="AG298" s="2">
        <f>AVERAGE(All_India_Index_Upto_April23_CPI_data[[#This Row],[Personal care and effects]],All_India_Index_Upto_April23_CPI_data[[#This Row],[Health]])</f>
        <v>158.85000000000002</v>
      </c>
      <c r="AH298" s="2">
        <f>AVERAGE(All_India_Index_Upto_April23_CPI_data[[#This Row],[Clothing]:[Clothing and footwear]])</f>
        <v>154.86666666666667</v>
      </c>
      <c r="AI298" s="2">
        <v>157.80000000000001</v>
      </c>
      <c r="AJ298" s="1">
        <f>(All_India_Index_Upto_April23_CPI_data[[#This Row],[General index]]-AI295)/AI295</f>
        <v>6.3775510204081625E-3</v>
      </c>
    </row>
    <row r="299" spans="1:36" x14ac:dyDescent="0.25">
      <c r="A299" t="s">
        <v>30</v>
      </c>
      <c r="B299">
        <v>2021</v>
      </c>
      <c r="C299" t="s">
        <v>37</v>
      </c>
      <c r="D299" s="2">
        <v>145.1</v>
      </c>
      <c r="E299" s="2">
        <v>198.5</v>
      </c>
      <c r="F299" s="2">
        <v>168.6</v>
      </c>
      <c r="G299" s="2">
        <v>155.80000000000001</v>
      </c>
      <c r="H299" s="2">
        <v>184.4</v>
      </c>
      <c r="I299" s="2">
        <v>162.30000000000001</v>
      </c>
      <c r="J299" s="2">
        <v>138.4</v>
      </c>
      <c r="K299" s="2">
        <v>165.1</v>
      </c>
      <c r="L299" s="2">
        <v>114.3</v>
      </c>
      <c r="M299" s="2">
        <v>169.7</v>
      </c>
      <c r="N299" s="2">
        <v>164.6</v>
      </c>
      <c r="O299" s="2">
        <v>169.8</v>
      </c>
      <c r="P299" s="2">
        <v>158.69999999999999</v>
      </c>
      <c r="Q299" s="2">
        <v>189.6</v>
      </c>
      <c r="R299" s="2">
        <v>165.3</v>
      </c>
      <c r="S299" s="2">
        <v>160.6</v>
      </c>
      <c r="T299" s="2">
        <v>164.5</v>
      </c>
      <c r="U299" s="2">
        <v>0</v>
      </c>
      <c r="V299" s="2">
        <v>161.69999999999999</v>
      </c>
      <c r="W299" s="2">
        <v>158.80000000000001</v>
      </c>
      <c r="X299" s="2">
        <v>169.1</v>
      </c>
      <c r="Y299" s="2">
        <v>153.19999999999999</v>
      </c>
      <c r="Z299" s="2">
        <v>160</v>
      </c>
      <c r="AA299" s="2">
        <v>167.6</v>
      </c>
      <c r="AB299" s="2">
        <v>159.30000000000001</v>
      </c>
      <c r="AC299" s="2">
        <v>161.1</v>
      </c>
      <c r="AD299" s="2">
        <f>AVERAGE(All_India_Index_Upto_April23_CPI_data[[#This Row],[Cereals and products]:[Food and beverages]])</f>
        <v>161.17692307692306</v>
      </c>
      <c r="AE299" s="2">
        <f>AVERAGE(All_India_Index_Upto_April23_CPI_data[[#This Row],[Recreation and amusement]],All_India_Index_Upto_April23_CPI_data[[#This Row],[Pan, tobacco and intoxicants]])</f>
        <v>174.8</v>
      </c>
      <c r="AF299" s="2">
        <f>AVERAGE(All_India_Index_Upto_April23_CPI_data[[#This Row],[Household goods and services]],All_India_Index_Upto_April23_CPI_data[[#This Row],[Housing]])</f>
        <v>79.400000000000006</v>
      </c>
      <c r="AG299" s="2">
        <f>AVERAGE(All_India_Index_Upto_April23_CPI_data[[#This Row],[Personal care and effects]],All_India_Index_Upto_April23_CPI_data[[#This Row],[Health]])</f>
        <v>164.2</v>
      </c>
      <c r="AH299" s="2">
        <f>AVERAGE(All_India_Index_Upto_April23_CPI_data[[#This Row],[Clothing]:[Clothing and footwear]])</f>
        <v>163.46666666666667</v>
      </c>
      <c r="AI299" s="2">
        <v>161.1</v>
      </c>
      <c r="AJ299" s="1">
        <f>(All_India_Index_Upto_April23_CPI_data[[#This Row],[General index]]-AI296)/AI296</f>
        <v>2.2208121827411168E-2</v>
      </c>
    </row>
    <row r="300" spans="1:36" x14ac:dyDescent="0.25">
      <c r="A300" t="s">
        <v>32</v>
      </c>
      <c r="B300">
        <v>2021</v>
      </c>
      <c r="C300" t="s">
        <v>37</v>
      </c>
      <c r="D300" s="2">
        <v>148.80000000000001</v>
      </c>
      <c r="E300" s="2">
        <v>204.3</v>
      </c>
      <c r="F300" s="2">
        <v>173</v>
      </c>
      <c r="G300" s="2">
        <v>156.5</v>
      </c>
      <c r="H300" s="2">
        <v>168.8</v>
      </c>
      <c r="I300" s="2">
        <v>172.5</v>
      </c>
      <c r="J300" s="2">
        <v>166.5</v>
      </c>
      <c r="K300" s="2">
        <v>165.9</v>
      </c>
      <c r="L300" s="2">
        <v>115.9</v>
      </c>
      <c r="M300" s="2">
        <v>165.2</v>
      </c>
      <c r="N300" s="2">
        <v>152</v>
      </c>
      <c r="O300" s="2">
        <v>171.1</v>
      </c>
      <c r="P300" s="2">
        <v>164.2</v>
      </c>
      <c r="Q300" s="2">
        <v>198.2</v>
      </c>
      <c r="R300" s="2">
        <v>156.5</v>
      </c>
      <c r="S300" s="2">
        <v>140.19999999999999</v>
      </c>
      <c r="T300" s="2">
        <v>154.1</v>
      </c>
      <c r="U300" s="2">
        <v>161.6</v>
      </c>
      <c r="V300" s="2">
        <v>155.5</v>
      </c>
      <c r="W300" s="2">
        <v>150.1</v>
      </c>
      <c r="X300" s="2">
        <v>160.4</v>
      </c>
      <c r="Y300" s="2">
        <v>145</v>
      </c>
      <c r="Z300" s="2">
        <v>152.6</v>
      </c>
      <c r="AA300" s="2">
        <v>156.6</v>
      </c>
      <c r="AB300" s="2">
        <v>157.5</v>
      </c>
      <c r="AC300" s="2">
        <v>152.30000000000001</v>
      </c>
      <c r="AD300" s="2">
        <f>AVERAGE(All_India_Index_Upto_April23_CPI_data[[#This Row],[Cereals and products]:[Food and beverages]])</f>
        <v>163.43846153846155</v>
      </c>
      <c r="AE300" s="2">
        <f>AVERAGE(All_India_Index_Upto_April23_CPI_data[[#This Row],[Recreation and amusement]],All_India_Index_Upto_April23_CPI_data[[#This Row],[Pan, tobacco and intoxicants]])</f>
        <v>175.39999999999998</v>
      </c>
      <c r="AF300" s="2">
        <f>AVERAGE(All_India_Index_Upto_April23_CPI_data[[#This Row],[Household goods and services]],All_India_Index_Upto_April23_CPI_data[[#This Row],[Housing]])</f>
        <v>155.85</v>
      </c>
      <c r="AG300" s="2">
        <f>AVERAGE(All_India_Index_Upto_April23_CPI_data[[#This Row],[Personal care and effects]],All_India_Index_Upto_April23_CPI_data[[#This Row],[Health]])</f>
        <v>158.94999999999999</v>
      </c>
      <c r="AH300" s="2">
        <f>AVERAGE(All_India_Index_Upto_April23_CPI_data[[#This Row],[Clothing]:[Clothing and footwear]])</f>
        <v>150.26666666666665</v>
      </c>
      <c r="AI300" s="2">
        <v>159.5</v>
      </c>
      <c r="AJ300" s="1">
        <f>(All_India_Index_Upto_April23_CPI_data[[#This Row],[General index]]-AI297)/AI297</f>
        <v>9.4936708860759497E-3</v>
      </c>
    </row>
    <row r="301" spans="1:36" x14ac:dyDescent="0.25">
      <c r="A301" t="s">
        <v>33</v>
      </c>
      <c r="B301">
        <v>2021</v>
      </c>
      <c r="C301" t="s">
        <v>37</v>
      </c>
      <c r="D301" s="2">
        <v>146.30000000000001</v>
      </c>
      <c r="E301" s="2">
        <v>200.5</v>
      </c>
      <c r="F301" s="2">
        <v>170.3</v>
      </c>
      <c r="G301" s="2">
        <v>156.1</v>
      </c>
      <c r="H301" s="2">
        <v>178.7</v>
      </c>
      <c r="I301" s="2">
        <v>167.1</v>
      </c>
      <c r="J301" s="2">
        <v>147.9</v>
      </c>
      <c r="K301" s="2">
        <v>165.4</v>
      </c>
      <c r="L301" s="2">
        <v>114.8</v>
      </c>
      <c r="M301" s="2">
        <v>168.2</v>
      </c>
      <c r="N301" s="2">
        <v>159.30000000000001</v>
      </c>
      <c r="O301" s="2">
        <v>170.4</v>
      </c>
      <c r="P301" s="2">
        <v>160.69999999999999</v>
      </c>
      <c r="Q301" s="2">
        <v>191.9</v>
      </c>
      <c r="R301" s="2">
        <v>161.80000000000001</v>
      </c>
      <c r="S301" s="2">
        <v>152.1</v>
      </c>
      <c r="T301" s="2">
        <v>160.4</v>
      </c>
      <c r="U301" s="2">
        <v>161.6</v>
      </c>
      <c r="V301" s="2">
        <v>159.4</v>
      </c>
      <c r="W301" s="2">
        <v>154.69999999999999</v>
      </c>
      <c r="X301" s="2">
        <v>165.8</v>
      </c>
      <c r="Y301" s="2">
        <v>148.9</v>
      </c>
      <c r="Z301" s="2">
        <v>155.80000000000001</v>
      </c>
      <c r="AA301" s="2">
        <v>161.19999999999999</v>
      </c>
      <c r="AB301" s="2">
        <v>158.6</v>
      </c>
      <c r="AC301" s="2">
        <v>156.80000000000001</v>
      </c>
      <c r="AD301" s="2">
        <f>AVERAGE(All_India_Index_Upto_April23_CPI_data[[#This Row],[Cereals and products]:[Food and beverages]])</f>
        <v>161.9769230769231</v>
      </c>
      <c r="AE301" s="2">
        <f>AVERAGE(All_India_Index_Upto_April23_CPI_data[[#This Row],[Recreation and amusement]],All_India_Index_Upto_April23_CPI_data[[#This Row],[Pan, tobacco and intoxicants]])</f>
        <v>173.85000000000002</v>
      </c>
      <c r="AF301" s="2">
        <f>AVERAGE(All_India_Index_Upto_April23_CPI_data[[#This Row],[Household goods and services]],All_India_Index_Upto_April23_CPI_data[[#This Row],[Housing]])</f>
        <v>158.14999999999998</v>
      </c>
      <c r="AG301" s="2">
        <f>AVERAGE(All_India_Index_Upto_April23_CPI_data[[#This Row],[Personal care and effects]],All_India_Index_Upto_April23_CPI_data[[#This Row],[Health]])</f>
        <v>162.19999999999999</v>
      </c>
      <c r="AH301" s="2">
        <f>AVERAGE(All_India_Index_Upto_April23_CPI_data[[#This Row],[Clothing]:[Clothing and footwear]])</f>
        <v>158.1</v>
      </c>
      <c r="AI301" s="2">
        <v>160.4</v>
      </c>
      <c r="AJ301" s="1">
        <f>(All_India_Index_Upto_April23_CPI_data[[#This Row],[General index]]-AI298)/AI298</f>
        <v>1.6476552598225565E-2</v>
      </c>
    </row>
    <row r="302" spans="1:36" x14ac:dyDescent="0.25">
      <c r="A302" t="s">
        <v>30</v>
      </c>
      <c r="B302">
        <v>2021</v>
      </c>
      <c r="C302" t="s">
        <v>38</v>
      </c>
      <c r="D302" s="2">
        <v>145.6</v>
      </c>
      <c r="E302" s="2">
        <v>200.1</v>
      </c>
      <c r="F302" s="2">
        <v>179.3</v>
      </c>
      <c r="G302" s="2">
        <v>156.1</v>
      </c>
      <c r="H302" s="2">
        <v>190.4</v>
      </c>
      <c r="I302" s="2">
        <v>158.6</v>
      </c>
      <c r="J302" s="2">
        <v>144.69999999999999</v>
      </c>
      <c r="K302" s="2">
        <v>165.5</v>
      </c>
      <c r="L302" s="2">
        <v>114.6</v>
      </c>
      <c r="M302" s="2">
        <v>170</v>
      </c>
      <c r="N302" s="2">
        <v>165.5</v>
      </c>
      <c r="O302" s="2">
        <v>171.7</v>
      </c>
      <c r="P302" s="2">
        <v>160.5</v>
      </c>
      <c r="Q302" s="2">
        <v>189.1</v>
      </c>
      <c r="R302" s="2">
        <v>165.3</v>
      </c>
      <c r="S302" s="2">
        <v>159.9</v>
      </c>
      <c r="T302" s="2">
        <v>164.6</v>
      </c>
      <c r="U302" s="2">
        <v>0</v>
      </c>
      <c r="V302" s="2">
        <v>162.1</v>
      </c>
      <c r="W302" s="2">
        <v>159.19999999999999</v>
      </c>
      <c r="X302" s="2">
        <v>169.7</v>
      </c>
      <c r="Y302" s="2">
        <v>154.19999999999999</v>
      </c>
      <c r="Z302" s="2">
        <v>160.4</v>
      </c>
      <c r="AA302" s="2">
        <v>166.8</v>
      </c>
      <c r="AB302" s="2">
        <v>159.4</v>
      </c>
      <c r="AC302" s="2">
        <v>161.5</v>
      </c>
      <c r="AD302" s="2">
        <f>AVERAGE(All_India_Index_Upto_April23_CPI_data[[#This Row],[Cereals and products]:[Food and beverages]])</f>
        <v>163.27692307692308</v>
      </c>
      <c r="AE302" s="2">
        <f>AVERAGE(All_India_Index_Upto_April23_CPI_data[[#This Row],[Recreation and amusement]],All_India_Index_Upto_April23_CPI_data[[#This Row],[Pan, tobacco and intoxicants]])</f>
        <v>174.75</v>
      </c>
      <c r="AF302" s="2">
        <f>AVERAGE(All_India_Index_Upto_April23_CPI_data[[#This Row],[Household goods and services]],All_India_Index_Upto_April23_CPI_data[[#This Row],[Housing]])</f>
        <v>79.599999999999994</v>
      </c>
      <c r="AG302" s="2">
        <f>AVERAGE(All_India_Index_Upto_April23_CPI_data[[#This Row],[Personal care and effects]],All_India_Index_Upto_April23_CPI_data[[#This Row],[Health]])</f>
        <v>164.55</v>
      </c>
      <c r="AH302" s="2">
        <f>AVERAGE(All_India_Index_Upto_April23_CPI_data[[#This Row],[Clothing]:[Clothing and footwear]])</f>
        <v>163.26666666666668</v>
      </c>
      <c r="AI302" s="2">
        <v>162.1</v>
      </c>
      <c r="AJ302" s="1">
        <f>(All_India_Index_Upto_April23_CPI_data[[#This Row],[General index]]-AI299)/AI299</f>
        <v>6.2073246430788334E-3</v>
      </c>
    </row>
    <row r="303" spans="1:36" x14ac:dyDescent="0.25">
      <c r="A303" t="s">
        <v>32</v>
      </c>
      <c r="B303">
        <v>2021</v>
      </c>
      <c r="C303" t="s">
        <v>38</v>
      </c>
      <c r="D303" s="2">
        <v>149.19999999999999</v>
      </c>
      <c r="E303" s="2">
        <v>205.5</v>
      </c>
      <c r="F303" s="2">
        <v>182.8</v>
      </c>
      <c r="G303" s="2">
        <v>156.5</v>
      </c>
      <c r="H303" s="2">
        <v>172.2</v>
      </c>
      <c r="I303" s="2">
        <v>171.5</v>
      </c>
      <c r="J303" s="2">
        <v>176.2</v>
      </c>
      <c r="K303" s="2">
        <v>166.9</v>
      </c>
      <c r="L303" s="2">
        <v>116.1</v>
      </c>
      <c r="M303" s="2">
        <v>165.5</v>
      </c>
      <c r="N303" s="2">
        <v>152.30000000000001</v>
      </c>
      <c r="O303" s="2">
        <v>173.3</v>
      </c>
      <c r="P303" s="2">
        <v>166.2</v>
      </c>
      <c r="Q303" s="2">
        <v>195.6</v>
      </c>
      <c r="R303" s="2">
        <v>157.30000000000001</v>
      </c>
      <c r="S303" s="2">
        <v>140.5</v>
      </c>
      <c r="T303" s="2">
        <v>154.80000000000001</v>
      </c>
      <c r="U303" s="2">
        <v>160.5</v>
      </c>
      <c r="V303" s="2">
        <v>156.1</v>
      </c>
      <c r="W303" s="2">
        <v>149.80000000000001</v>
      </c>
      <c r="X303" s="2">
        <v>160.80000000000001</v>
      </c>
      <c r="Y303" s="2">
        <v>147.5</v>
      </c>
      <c r="Z303" s="2">
        <v>150.69999999999999</v>
      </c>
      <c r="AA303" s="2">
        <v>158.1</v>
      </c>
      <c r="AB303" s="2">
        <v>158</v>
      </c>
      <c r="AC303" s="2">
        <v>153.4</v>
      </c>
      <c r="AD303" s="2">
        <f>AVERAGE(All_India_Index_Upto_April23_CPI_data[[#This Row],[Cereals and products]:[Food and beverages]])</f>
        <v>165.7076923076923</v>
      </c>
      <c r="AE303" s="2">
        <f>AVERAGE(All_India_Index_Upto_April23_CPI_data[[#This Row],[Recreation and amusement]],All_India_Index_Upto_April23_CPI_data[[#This Row],[Pan, tobacco and intoxicants]])</f>
        <v>173.14999999999998</v>
      </c>
      <c r="AF303" s="2">
        <f>AVERAGE(All_India_Index_Upto_April23_CPI_data[[#This Row],[Household goods and services]],All_India_Index_Upto_April23_CPI_data[[#This Row],[Housing]])</f>
        <v>155.15</v>
      </c>
      <c r="AG303" s="2">
        <f>AVERAGE(All_India_Index_Upto_April23_CPI_data[[#This Row],[Personal care and effects]],All_India_Index_Upto_April23_CPI_data[[#This Row],[Health]])</f>
        <v>159.4</v>
      </c>
      <c r="AH303" s="2">
        <f>AVERAGE(All_India_Index_Upto_April23_CPI_data[[#This Row],[Clothing]:[Clothing and footwear]])</f>
        <v>150.86666666666667</v>
      </c>
      <c r="AI303" s="2">
        <v>160.4</v>
      </c>
      <c r="AJ303" s="1">
        <f>(All_India_Index_Upto_April23_CPI_data[[#This Row],[General index]]-AI300)/AI300</f>
        <v>5.6426332288401614E-3</v>
      </c>
    </row>
    <row r="304" spans="1:36" x14ac:dyDescent="0.25">
      <c r="A304" t="s">
        <v>33</v>
      </c>
      <c r="B304">
        <v>2021</v>
      </c>
      <c r="C304" t="s">
        <v>38</v>
      </c>
      <c r="D304" s="2">
        <v>146.69999999999999</v>
      </c>
      <c r="E304" s="2">
        <v>202</v>
      </c>
      <c r="F304" s="2">
        <v>180.7</v>
      </c>
      <c r="G304" s="2">
        <v>156.19999999999999</v>
      </c>
      <c r="H304" s="2">
        <v>183.7</v>
      </c>
      <c r="I304" s="2">
        <v>164.6</v>
      </c>
      <c r="J304" s="2">
        <v>155.4</v>
      </c>
      <c r="K304" s="2">
        <v>166</v>
      </c>
      <c r="L304" s="2">
        <v>115.1</v>
      </c>
      <c r="M304" s="2">
        <v>168.5</v>
      </c>
      <c r="N304" s="2">
        <v>160</v>
      </c>
      <c r="O304" s="2">
        <v>172.4</v>
      </c>
      <c r="P304" s="2">
        <v>162.6</v>
      </c>
      <c r="Q304" s="2">
        <v>190.8</v>
      </c>
      <c r="R304" s="2">
        <v>162.19999999999999</v>
      </c>
      <c r="S304" s="2">
        <v>151.80000000000001</v>
      </c>
      <c r="T304" s="2">
        <v>160.69999999999999</v>
      </c>
      <c r="U304" s="2">
        <v>160.5</v>
      </c>
      <c r="V304" s="2">
        <v>159.80000000000001</v>
      </c>
      <c r="W304" s="2">
        <v>154.80000000000001</v>
      </c>
      <c r="X304" s="2">
        <v>166.3</v>
      </c>
      <c r="Y304" s="2">
        <v>150.69999999999999</v>
      </c>
      <c r="Z304" s="2">
        <v>154.9</v>
      </c>
      <c r="AA304" s="2">
        <v>161.69999999999999</v>
      </c>
      <c r="AB304" s="2">
        <v>158.80000000000001</v>
      </c>
      <c r="AC304" s="2">
        <v>157.6</v>
      </c>
      <c r="AD304" s="2">
        <f>AVERAGE(All_India_Index_Upto_April23_CPI_data[[#This Row],[Cereals and products]:[Food and beverages]])</f>
        <v>164.14615384615385</v>
      </c>
      <c r="AE304" s="2">
        <f>AVERAGE(All_India_Index_Upto_April23_CPI_data[[#This Row],[Recreation and amusement]],All_India_Index_Upto_April23_CPI_data[[#This Row],[Pan, tobacco and intoxicants]])</f>
        <v>172.85000000000002</v>
      </c>
      <c r="AF304" s="2">
        <f>AVERAGE(All_India_Index_Upto_April23_CPI_data[[#This Row],[Household goods and services]],All_India_Index_Upto_April23_CPI_data[[#This Row],[Housing]])</f>
        <v>157.65</v>
      </c>
      <c r="AG304" s="2">
        <f>AVERAGE(All_India_Index_Upto_April23_CPI_data[[#This Row],[Personal care and effects]],All_India_Index_Upto_April23_CPI_data[[#This Row],[Health]])</f>
        <v>162.55000000000001</v>
      </c>
      <c r="AH304" s="2">
        <f>AVERAGE(All_India_Index_Upto_April23_CPI_data[[#This Row],[Clothing]:[Clothing and footwear]])</f>
        <v>158.23333333333332</v>
      </c>
      <c r="AI304" s="2">
        <v>161.30000000000001</v>
      </c>
      <c r="AJ304" s="1">
        <f>(All_India_Index_Upto_April23_CPI_data[[#This Row],[General index]]-AI301)/AI301</f>
        <v>5.6109725685785893E-3</v>
      </c>
    </row>
    <row r="305" spans="1:36" x14ac:dyDescent="0.25">
      <c r="A305" t="s">
        <v>30</v>
      </c>
      <c r="B305">
        <v>2021</v>
      </c>
      <c r="C305" t="s">
        <v>39</v>
      </c>
      <c r="D305" s="2">
        <v>145.1</v>
      </c>
      <c r="E305" s="2">
        <v>204.5</v>
      </c>
      <c r="F305" s="2">
        <v>180.4</v>
      </c>
      <c r="G305" s="2">
        <v>157.1</v>
      </c>
      <c r="H305" s="2">
        <v>188.7</v>
      </c>
      <c r="I305" s="2">
        <v>157.69999999999999</v>
      </c>
      <c r="J305" s="2">
        <v>152.80000000000001</v>
      </c>
      <c r="K305" s="2">
        <v>163.6</v>
      </c>
      <c r="L305" s="2">
        <v>113.9</v>
      </c>
      <c r="M305" s="2">
        <v>169.7</v>
      </c>
      <c r="N305" s="2">
        <v>166.2</v>
      </c>
      <c r="O305" s="2">
        <v>171</v>
      </c>
      <c r="P305" s="2">
        <v>161.69999999999999</v>
      </c>
      <c r="Q305" s="2">
        <v>189.7</v>
      </c>
      <c r="R305" s="2">
        <v>166</v>
      </c>
      <c r="S305" s="2">
        <v>161.1</v>
      </c>
      <c r="T305" s="2">
        <v>165.3</v>
      </c>
      <c r="U305" s="2">
        <v>0</v>
      </c>
      <c r="V305" s="2">
        <v>162.5</v>
      </c>
      <c r="W305" s="2">
        <v>160.30000000000001</v>
      </c>
      <c r="X305" s="2">
        <v>170.4</v>
      </c>
      <c r="Y305" s="2">
        <v>157.1</v>
      </c>
      <c r="Z305" s="2">
        <v>160.69999999999999</v>
      </c>
      <c r="AA305" s="2">
        <v>167.2</v>
      </c>
      <c r="AB305" s="2">
        <v>160.4</v>
      </c>
      <c r="AC305" s="2">
        <v>162.80000000000001</v>
      </c>
      <c r="AD305" s="2">
        <f>AVERAGE(All_India_Index_Upto_April23_CPI_data[[#This Row],[Cereals and products]:[Food and beverages]])</f>
        <v>164.03076923076924</v>
      </c>
      <c r="AE305" s="2">
        <f>AVERAGE(All_India_Index_Upto_April23_CPI_data[[#This Row],[Recreation and amusement]],All_India_Index_Upto_April23_CPI_data[[#This Row],[Pan, tobacco and intoxicants]])</f>
        <v>175.2</v>
      </c>
      <c r="AF305" s="2">
        <f>AVERAGE(All_India_Index_Upto_April23_CPI_data[[#This Row],[Household goods and services]],All_India_Index_Upto_April23_CPI_data[[#This Row],[Housing]])</f>
        <v>80.150000000000006</v>
      </c>
      <c r="AG305" s="2">
        <f>AVERAGE(All_India_Index_Upto_April23_CPI_data[[#This Row],[Personal care and effects]],All_India_Index_Upto_April23_CPI_data[[#This Row],[Health]])</f>
        <v>165.4</v>
      </c>
      <c r="AH305" s="2">
        <f>AVERAGE(All_India_Index_Upto_April23_CPI_data[[#This Row],[Clothing]:[Clothing and footwear]])</f>
        <v>164.13333333333335</v>
      </c>
      <c r="AI305" s="2">
        <v>163.19999999999999</v>
      </c>
      <c r="AJ305" s="1">
        <f>(All_India_Index_Upto_April23_CPI_data[[#This Row],[General index]]-AI302)/AI302</f>
        <v>6.7859346082664671E-3</v>
      </c>
    </row>
    <row r="306" spans="1:36" x14ac:dyDescent="0.25">
      <c r="A306" t="s">
        <v>32</v>
      </c>
      <c r="B306">
        <v>2021</v>
      </c>
      <c r="C306" t="s">
        <v>39</v>
      </c>
      <c r="D306" s="2">
        <v>149.1</v>
      </c>
      <c r="E306" s="2">
        <v>210.9</v>
      </c>
      <c r="F306" s="2">
        <v>185</v>
      </c>
      <c r="G306" s="2">
        <v>158.19999999999999</v>
      </c>
      <c r="H306" s="2">
        <v>170.6</v>
      </c>
      <c r="I306" s="2">
        <v>170.9</v>
      </c>
      <c r="J306" s="2">
        <v>186.4</v>
      </c>
      <c r="K306" s="2">
        <v>164.7</v>
      </c>
      <c r="L306" s="2">
        <v>115.7</v>
      </c>
      <c r="M306" s="2">
        <v>165.5</v>
      </c>
      <c r="N306" s="2">
        <v>153.4</v>
      </c>
      <c r="O306" s="2">
        <v>173.5</v>
      </c>
      <c r="P306" s="2">
        <v>167.9</v>
      </c>
      <c r="Q306" s="2">
        <v>195.5</v>
      </c>
      <c r="R306" s="2">
        <v>157.9</v>
      </c>
      <c r="S306" s="2">
        <v>141.9</v>
      </c>
      <c r="T306" s="2">
        <v>155.5</v>
      </c>
      <c r="U306" s="2">
        <v>161.5</v>
      </c>
      <c r="V306" s="2">
        <v>157.69999999999999</v>
      </c>
      <c r="W306" s="2">
        <v>150.69999999999999</v>
      </c>
      <c r="X306" s="2">
        <v>161.5</v>
      </c>
      <c r="Y306" s="2">
        <v>149.5</v>
      </c>
      <c r="Z306" s="2">
        <v>151.19999999999999</v>
      </c>
      <c r="AA306" s="2">
        <v>160.30000000000001</v>
      </c>
      <c r="AB306" s="2">
        <v>159.6</v>
      </c>
      <c r="AC306" s="2">
        <v>155</v>
      </c>
      <c r="AD306" s="2">
        <f>AVERAGE(All_India_Index_Upto_April23_CPI_data[[#This Row],[Cereals and products]:[Food and beverages]])</f>
        <v>167.06153846153848</v>
      </c>
      <c r="AE306" s="2">
        <f>AVERAGE(All_India_Index_Upto_April23_CPI_data[[#This Row],[Recreation and amusement]],All_India_Index_Upto_April23_CPI_data[[#This Row],[Pan, tobacco and intoxicants]])</f>
        <v>173.35</v>
      </c>
      <c r="AF306" s="2">
        <f>AVERAGE(All_India_Index_Upto_April23_CPI_data[[#This Row],[Household goods and services]],All_India_Index_Upto_April23_CPI_data[[#This Row],[Housing]])</f>
        <v>156.1</v>
      </c>
      <c r="AG306" s="2">
        <f>AVERAGE(All_India_Index_Upto_April23_CPI_data[[#This Row],[Personal care and effects]],All_India_Index_Upto_April23_CPI_data[[#This Row],[Health]])</f>
        <v>160.55000000000001</v>
      </c>
      <c r="AH306" s="2">
        <f>AVERAGE(All_India_Index_Upto_April23_CPI_data[[#This Row],[Clothing]:[Clothing and footwear]])</f>
        <v>151.76666666666668</v>
      </c>
      <c r="AI306" s="2">
        <v>161.80000000000001</v>
      </c>
      <c r="AJ306" s="1">
        <f>(All_India_Index_Upto_April23_CPI_data[[#This Row],[General index]]-AI303)/AI303</f>
        <v>8.7281795511222303E-3</v>
      </c>
    </row>
    <row r="307" spans="1:36" x14ac:dyDescent="0.25">
      <c r="A307" t="s">
        <v>33</v>
      </c>
      <c r="B307">
        <v>2021</v>
      </c>
      <c r="C307" t="s">
        <v>39</v>
      </c>
      <c r="D307" s="2">
        <v>146.4</v>
      </c>
      <c r="E307" s="2">
        <v>206.8</v>
      </c>
      <c r="F307" s="2">
        <v>182.2</v>
      </c>
      <c r="G307" s="2">
        <v>157.5</v>
      </c>
      <c r="H307" s="2">
        <v>182.1</v>
      </c>
      <c r="I307" s="2">
        <v>163.9</v>
      </c>
      <c r="J307" s="2">
        <v>164.2</v>
      </c>
      <c r="K307" s="2">
        <v>164</v>
      </c>
      <c r="L307" s="2">
        <v>114.5</v>
      </c>
      <c r="M307" s="2">
        <v>168.3</v>
      </c>
      <c r="N307" s="2">
        <v>160.9</v>
      </c>
      <c r="O307" s="2">
        <v>172.2</v>
      </c>
      <c r="P307" s="2">
        <v>164</v>
      </c>
      <c r="Q307" s="2">
        <v>191.2</v>
      </c>
      <c r="R307" s="2">
        <v>162.80000000000001</v>
      </c>
      <c r="S307" s="2">
        <v>153.1</v>
      </c>
      <c r="T307" s="2">
        <v>161.4</v>
      </c>
      <c r="U307" s="2">
        <v>161.5</v>
      </c>
      <c r="V307" s="2">
        <v>160.69999999999999</v>
      </c>
      <c r="W307" s="2">
        <v>155.80000000000001</v>
      </c>
      <c r="X307" s="2">
        <v>167</v>
      </c>
      <c r="Y307" s="2">
        <v>153.1</v>
      </c>
      <c r="Z307" s="2">
        <v>155.30000000000001</v>
      </c>
      <c r="AA307" s="2">
        <v>163.19999999999999</v>
      </c>
      <c r="AB307" s="2">
        <v>160.1</v>
      </c>
      <c r="AC307" s="2">
        <v>159</v>
      </c>
      <c r="AD307" s="2">
        <f>AVERAGE(All_India_Index_Upto_April23_CPI_data[[#This Row],[Cereals and products]:[Food and beverages]])</f>
        <v>165.15384615384616</v>
      </c>
      <c r="AE307" s="2">
        <f>AVERAGE(All_India_Index_Upto_April23_CPI_data[[#This Row],[Recreation and amusement]],All_India_Index_Upto_April23_CPI_data[[#This Row],[Pan, tobacco and intoxicants]])</f>
        <v>173.25</v>
      </c>
      <c r="AF307" s="2">
        <f>AVERAGE(All_India_Index_Upto_April23_CPI_data[[#This Row],[Household goods and services]],All_India_Index_Upto_April23_CPI_data[[#This Row],[Housing]])</f>
        <v>158.65</v>
      </c>
      <c r="AG307" s="2">
        <f>AVERAGE(All_India_Index_Upto_April23_CPI_data[[#This Row],[Personal care and effects]],All_India_Index_Upto_April23_CPI_data[[#This Row],[Health]])</f>
        <v>163.55000000000001</v>
      </c>
      <c r="AH307" s="2">
        <f>AVERAGE(All_India_Index_Upto_April23_CPI_data[[#This Row],[Clothing]:[Clothing and footwear]])</f>
        <v>159.1</v>
      </c>
      <c r="AI307" s="2">
        <v>162.5</v>
      </c>
      <c r="AJ307" s="1">
        <f>(All_India_Index_Upto_April23_CPI_data[[#This Row],[General index]]-AI304)/AI304</f>
        <v>7.439553626782322E-3</v>
      </c>
    </row>
    <row r="308" spans="1:36" x14ac:dyDescent="0.25">
      <c r="A308" t="s">
        <v>30</v>
      </c>
      <c r="B308">
        <v>2021</v>
      </c>
      <c r="C308" t="s">
        <v>40</v>
      </c>
      <c r="D308" s="2">
        <v>144.9</v>
      </c>
      <c r="E308" s="2">
        <v>202.3</v>
      </c>
      <c r="F308" s="2">
        <v>176.5</v>
      </c>
      <c r="G308" s="2">
        <v>157.5</v>
      </c>
      <c r="H308" s="2">
        <v>190.9</v>
      </c>
      <c r="I308" s="2">
        <v>155.69999999999999</v>
      </c>
      <c r="J308" s="2">
        <v>153.9</v>
      </c>
      <c r="K308" s="2">
        <v>162.80000000000001</v>
      </c>
      <c r="L308" s="2">
        <v>115.2</v>
      </c>
      <c r="M308" s="2">
        <v>169.8</v>
      </c>
      <c r="N308" s="2">
        <v>167.6</v>
      </c>
      <c r="O308" s="2">
        <v>171.9</v>
      </c>
      <c r="P308" s="2">
        <v>161.80000000000001</v>
      </c>
      <c r="Q308" s="2">
        <v>190.2</v>
      </c>
      <c r="R308" s="2">
        <v>167</v>
      </c>
      <c r="S308" s="2">
        <v>162.6</v>
      </c>
      <c r="T308" s="2">
        <v>166.3</v>
      </c>
      <c r="U308" s="2">
        <v>0</v>
      </c>
      <c r="V308" s="2">
        <v>163.1</v>
      </c>
      <c r="W308" s="2">
        <v>160.9</v>
      </c>
      <c r="X308" s="2">
        <v>171.1</v>
      </c>
      <c r="Y308" s="2">
        <v>157.69999999999999</v>
      </c>
      <c r="Z308" s="2">
        <v>161.1</v>
      </c>
      <c r="AA308" s="2">
        <v>167.5</v>
      </c>
      <c r="AB308" s="2">
        <v>160.30000000000001</v>
      </c>
      <c r="AC308" s="2">
        <v>163.30000000000001</v>
      </c>
      <c r="AD308" s="2">
        <f>AVERAGE(All_India_Index_Upto_April23_CPI_data[[#This Row],[Cereals and products]:[Food and beverages]])</f>
        <v>163.90769230769232</v>
      </c>
      <c r="AE308" s="2">
        <f>AVERAGE(All_India_Index_Upto_April23_CPI_data[[#This Row],[Recreation and amusement]],All_India_Index_Upto_April23_CPI_data[[#This Row],[Pan, tobacco and intoxicants]])</f>
        <v>175.64999999999998</v>
      </c>
      <c r="AF308" s="2">
        <f>AVERAGE(All_India_Index_Upto_April23_CPI_data[[#This Row],[Household goods and services]],All_India_Index_Upto_April23_CPI_data[[#This Row],[Housing]])</f>
        <v>80.45</v>
      </c>
      <c r="AG308" s="2">
        <f>AVERAGE(All_India_Index_Upto_April23_CPI_data[[#This Row],[Personal care and effects]],All_India_Index_Upto_April23_CPI_data[[#This Row],[Health]])</f>
        <v>165.7</v>
      </c>
      <c r="AH308" s="2">
        <f>AVERAGE(All_India_Index_Upto_April23_CPI_data[[#This Row],[Clothing]:[Clothing and footwear]])</f>
        <v>165.3</v>
      </c>
      <c r="AI308" s="2">
        <v>163.6</v>
      </c>
      <c r="AJ308" s="1">
        <f>(All_India_Index_Upto_April23_CPI_data[[#This Row],[General index]]-AI305)/AI305</f>
        <v>2.4509803921568978E-3</v>
      </c>
    </row>
    <row r="309" spans="1:36" x14ac:dyDescent="0.25">
      <c r="A309" t="s">
        <v>32</v>
      </c>
      <c r="B309">
        <v>2021</v>
      </c>
      <c r="C309" t="s">
        <v>40</v>
      </c>
      <c r="D309" s="2">
        <v>149.30000000000001</v>
      </c>
      <c r="E309" s="2">
        <v>207.4</v>
      </c>
      <c r="F309" s="2">
        <v>174.1</v>
      </c>
      <c r="G309" s="2">
        <v>159.19999999999999</v>
      </c>
      <c r="H309" s="2">
        <v>175</v>
      </c>
      <c r="I309" s="2">
        <v>161.30000000000001</v>
      </c>
      <c r="J309" s="2">
        <v>183.3</v>
      </c>
      <c r="K309" s="2">
        <v>164.5</v>
      </c>
      <c r="L309" s="2">
        <v>120.4</v>
      </c>
      <c r="M309" s="2">
        <v>166.2</v>
      </c>
      <c r="N309" s="2">
        <v>154.80000000000001</v>
      </c>
      <c r="O309" s="2">
        <v>175.1</v>
      </c>
      <c r="P309" s="2">
        <v>167.3</v>
      </c>
      <c r="Q309" s="2">
        <v>196.5</v>
      </c>
      <c r="R309" s="2">
        <v>159.80000000000001</v>
      </c>
      <c r="S309" s="2">
        <v>143.6</v>
      </c>
      <c r="T309" s="2">
        <v>157.30000000000001</v>
      </c>
      <c r="U309" s="2">
        <v>162.1</v>
      </c>
      <c r="V309" s="2">
        <v>160.69999999999999</v>
      </c>
      <c r="W309" s="2">
        <v>153.19999999999999</v>
      </c>
      <c r="X309" s="2">
        <v>162.80000000000001</v>
      </c>
      <c r="Y309" s="2">
        <v>150.4</v>
      </c>
      <c r="Z309" s="2">
        <v>153.69999999999999</v>
      </c>
      <c r="AA309" s="2">
        <v>160.4</v>
      </c>
      <c r="AB309" s="2">
        <v>159.6</v>
      </c>
      <c r="AC309" s="2">
        <v>156</v>
      </c>
      <c r="AD309" s="2">
        <f>AVERAGE(All_India_Index_Upto_April23_CPI_data[[#This Row],[Cereals and products]:[Food and beverages]])</f>
        <v>165.99230769230769</v>
      </c>
      <c r="AE309" s="2">
        <f>AVERAGE(All_India_Index_Upto_April23_CPI_data[[#This Row],[Recreation and amusement]],All_India_Index_Upto_April23_CPI_data[[#This Row],[Pan, tobacco and intoxicants]])</f>
        <v>175.1</v>
      </c>
      <c r="AF309" s="2">
        <f>AVERAGE(All_India_Index_Upto_April23_CPI_data[[#This Row],[Household goods and services]],All_India_Index_Upto_April23_CPI_data[[#This Row],[Housing]])</f>
        <v>157.64999999999998</v>
      </c>
      <c r="AG309" s="2">
        <f>AVERAGE(All_India_Index_Upto_April23_CPI_data[[#This Row],[Personal care and effects]],All_India_Index_Upto_April23_CPI_data[[#This Row],[Health]])</f>
        <v>161.19999999999999</v>
      </c>
      <c r="AH309" s="2">
        <f>AVERAGE(All_India_Index_Upto_April23_CPI_data[[#This Row],[Clothing]:[Clothing and footwear]])</f>
        <v>153.56666666666666</v>
      </c>
      <c r="AI309" s="2">
        <v>162.30000000000001</v>
      </c>
      <c r="AJ309" s="1">
        <f>(All_India_Index_Upto_April23_CPI_data[[#This Row],[General index]]-AI306)/AI306</f>
        <v>3.0902348578491965E-3</v>
      </c>
    </row>
    <row r="310" spans="1:36" x14ac:dyDescent="0.25">
      <c r="A310" t="s">
        <v>33</v>
      </c>
      <c r="B310">
        <v>2021</v>
      </c>
      <c r="C310" t="s">
        <v>40</v>
      </c>
      <c r="D310" s="2">
        <v>146.6</v>
      </c>
      <c r="E310" s="2">
        <v>204</v>
      </c>
      <c r="F310" s="2">
        <v>172.8</v>
      </c>
      <c r="G310" s="2">
        <v>158.4</v>
      </c>
      <c r="H310" s="2">
        <v>188</v>
      </c>
      <c r="I310" s="2">
        <v>156.80000000000001</v>
      </c>
      <c r="J310" s="2">
        <v>162.19999999999999</v>
      </c>
      <c r="K310" s="2">
        <v>164.1</v>
      </c>
      <c r="L310" s="2">
        <v>119.7</v>
      </c>
      <c r="M310" s="2">
        <v>168.8</v>
      </c>
      <c r="N310" s="2">
        <v>162.69999999999999</v>
      </c>
      <c r="O310" s="2">
        <v>173.9</v>
      </c>
      <c r="P310" s="2">
        <v>164</v>
      </c>
      <c r="Q310" s="2">
        <v>192.1</v>
      </c>
      <c r="R310" s="2">
        <v>164.5</v>
      </c>
      <c r="S310" s="2">
        <v>155.30000000000001</v>
      </c>
      <c r="T310" s="2">
        <v>163.19999999999999</v>
      </c>
      <c r="U310" s="2">
        <v>162.1</v>
      </c>
      <c r="V310" s="2">
        <v>162.6</v>
      </c>
      <c r="W310" s="2">
        <v>157.5</v>
      </c>
      <c r="X310" s="2">
        <v>168.4</v>
      </c>
      <c r="Y310" s="2">
        <v>154</v>
      </c>
      <c r="Z310" s="2">
        <v>157.6</v>
      </c>
      <c r="AA310" s="2">
        <v>163.80000000000001</v>
      </c>
      <c r="AB310" s="2">
        <v>160</v>
      </c>
      <c r="AC310" s="2">
        <v>160</v>
      </c>
      <c r="AD310" s="2">
        <f>AVERAGE(All_India_Index_Upto_April23_CPI_data[[#This Row],[Cereals and products]:[Food and beverages]])</f>
        <v>164.76923076923077</v>
      </c>
      <c r="AE310" s="2">
        <f>AVERAGE(All_India_Index_Upto_April23_CPI_data[[#This Row],[Recreation and amusement]],All_India_Index_Upto_April23_CPI_data[[#This Row],[Pan, tobacco and intoxicants]])</f>
        <v>174.85</v>
      </c>
      <c r="AF310" s="2">
        <f>AVERAGE(All_India_Index_Upto_April23_CPI_data[[#This Row],[Household goods and services]],All_India_Index_Upto_April23_CPI_data[[#This Row],[Housing]])</f>
        <v>159.80000000000001</v>
      </c>
      <c r="AG310" s="2">
        <f>AVERAGE(All_India_Index_Upto_April23_CPI_data[[#This Row],[Personal care and effects]],All_India_Index_Upto_April23_CPI_data[[#This Row],[Health]])</f>
        <v>164.2</v>
      </c>
      <c r="AH310" s="2">
        <f>AVERAGE(All_India_Index_Upto_April23_CPI_data[[#This Row],[Clothing]:[Clothing and footwear]])</f>
        <v>161</v>
      </c>
      <c r="AI310" s="2">
        <v>163.19999999999999</v>
      </c>
      <c r="AJ310" s="1">
        <f>(All_India_Index_Upto_April23_CPI_data[[#This Row],[General index]]-AI307)/AI307</f>
        <v>4.3076923076922381E-3</v>
      </c>
    </row>
    <row r="311" spans="1:36" x14ac:dyDescent="0.25">
      <c r="A311" t="s">
        <v>30</v>
      </c>
      <c r="B311">
        <v>2021</v>
      </c>
      <c r="C311" t="s">
        <v>41</v>
      </c>
      <c r="D311" s="2">
        <v>145.4</v>
      </c>
      <c r="E311" s="2">
        <v>202.1</v>
      </c>
      <c r="F311" s="2">
        <v>172</v>
      </c>
      <c r="G311" s="2">
        <v>158</v>
      </c>
      <c r="H311" s="2">
        <v>195.5</v>
      </c>
      <c r="I311" s="2">
        <v>152.69999999999999</v>
      </c>
      <c r="J311" s="2">
        <v>151.4</v>
      </c>
      <c r="K311" s="2">
        <v>163.9</v>
      </c>
      <c r="L311" s="2">
        <v>119.3</v>
      </c>
      <c r="M311" s="2">
        <v>170.1</v>
      </c>
      <c r="N311" s="2">
        <v>168.3</v>
      </c>
      <c r="O311" s="2">
        <v>172.8</v>
      </c>
      <c r="P311" s="2">
        <v>162.1</v>
      </c>
      <c r="Q311" s="2">
        <v>190.5</v>
      </c>
      <c r="R311" s="2">
        <v>167.7</v>
      </c>
      <c r="S311" s="2">
        <v>163.6</v>
      </c>
      <c r="T311" s="2">
        <v>167.1</v>
      </c>
      <c r="U311" s="2">
        <v>0</v>
      </c>
      <c r="V311" s="2">
        <v>163.69999999999999</v>
      </c>
      <c r="W311" s="2">
        <v>161.30000000000001</v>
      </c>
      <c r="X311" s="2">
        <v>171.9</v>
      </c>
      <c r="Y311" s="2">
        <v>157.80000000000001</v>
      </c>
      <c r="Z311" s="2">
        <v>162.69999999999999</v>
      </c>
      <c r="AA311" s="2">
        <v>168.5</v>
      </c>
      <c r="AB311" s="2">
        <v>160.19999999999999</v>
      </c>
      <c r="AC311" s="2">
        <v>163.80000000000001</v>
      </c>
      <c r="AD311" s="2">
        <f>AVERAGE(All_India_Index_Upto_April23_CPI_data[[#This Row],[Cereals and products]:[Food and beverages]])</f>
        <v>164.12307692307692</v>
      </c>
      <c r="AE311" s="2">
        <f>AVERAGE(All_India_Index_Upto_April23_CPI_data[[#This Row],[Recreation and amusement]],All_India_Index_Upto_April23_CPI_data[[#This Row],[Pan, tobacco and intoxicants]])</f>
        <v>176.6</v>
      </c>
      <c r="AF311" s="2">
        <f>AVERAGE(All_India_Index_Upto_April23_CPI_data[[#This Row],[Household goods and services]],All_India_Index_Upto_April23_CPI_data[[#This Row],[Housing]])</f>
        <v>80.650000000000006</v>
      </c>
      <c r="AG311" s="2">
        <f>AVERAGE(All_India_Index_Upto_April23_CPI_data[[#This Row],[Personal care and effects]],All_India_Index_Upto_April23_CPI_data[[#This Row],[Health]])</f>
        <v>166.05</v>
      </c>
      <c r="AH311" s="2">
        <f>AVERAGE(All_India_Index_Upto_April23_CPI_data[[#This Row],[Clothing]:[Clothing and footwear]])</f>
        <v>166.13333333333333</v>
      </c>
      <c r="AI311" s="2">
        <v>164</v>
      </c>
      <c r="AJ311" s="1">
        <f>(All_India_Index_Upto_April23_CPI_data[[#This Row],[General index]]-AI308)/AI308</f>
        <v>2.4449877750611594E-3</v>
      </c>
    </row>
    <row r="312" spans="1:36" x14ac:dyDescent="0.25">
      <c r="A312" t="s">
        <v>32</v>
      </c>
      <c r="B312">
        <v>2021</v>
      </c>
      <c r="C312" t="s">
        <v>41</v>
      </c>
      <c r="D312" s="2">
        <v>149.30000000000001</v>
      </c>
      <c r="E312" s="2">
        <v>207.4</v>
      </c>
      <c r="F312" s="2">
        <v>174.1</v>
      </c>
      <c r="G312" s="2">
        <v>159.1</v>
      </c>
      <c r="H312" s="2">
        <v>175</v>
      </c>
      <c r="I312" s="2">
        <v>161.19999999999999</v>
      </c>
      <c r="J312" s="2">
        <v>183.5</v>
      </c>
      <c r="K312" s="2">
        <v>164.5</v>
      </c>
      <c r="L312" s="2">
        <v>120.4</v>
      </c>
      <c r="M312" s="2">
        <v>166.2</v>
      </c>
      <c r="N312" s="2">
        <v>154.80000000000001</v>
      </c>
      <c r="O312" s="2">
        <v>175.1</v>
      </c>
      <c r="P312" s="2">
        <v>167.3</v>
      </c>
      <c r="Q312" s="2">
        <v>196.5</v>
      </c>
      <c r="R312" s="2">
        <v>159.80000000000001</v>
      </c>
      <c r="S312" s="2">
        <v>143.6</v>
      </c>
      <c r="T312" s="2">
        <v>157.4</v>
      </c>
      <c r="U312" s="2">
        <v>162.1</v>
      </c>
      <c r="V312" s="2">
        <v>160.80000000000001</v>
      </c>
      <c r="W312" s="2">
        <v>153.30000000000001</v>
      </c>
      <c r="X312" s="2">
        <v>162.80000000000001</v>
      </c>
      <c r="Y312" s="2">
        <v>150.5</v>
      </c>
      <c r="Z312" s="2">
        <v>153.9</v>
      </c>
      <c r="AA312" s="2">
        <v>160.30000000000001</v>
      </c>
      <c r="AB312" s="2">
        <v>159.6</v>
      </c>
      <c r="AC312" s="2">
        <v>156</v>
      </c>
      <c r="AD312" s="2">
        <f>AVERAGE(All_India_Index_Upto_April23_CPI_data[[#This Row],[Cereals and products]:[Food and beverages]])</f>
        <v>165.99230769230769</v>
      </c>
      <c r="AE312" s="2">
        <f>AVERAGE(All_India_Index_Upto_April23_CPI_data[[#This Row],[Recreation and amusement]],All_India_Index_Upto_April23_CPI_data[[#This Row],[Pan, tobacco and intoxicants]])</f>
        <v>175.2</v>
      </c>
      <c r="AF312" s="2">
        <f>AVERAGE(All_India_Index_Upto_April23_CPI_data[[#This Row],[Household goods and services]],All_India_Index_Upto_April23_CPI_data[[#This Row],[Housing]])</f>
        <v>157.69999999999999</v>
      </c>
      <c r="AG312" s="2">
        <f>AVERAGE(All_India_Index_Upto_April23_CPI_data[[#This Row],[Personal care and effects]],All_India_Index_Upto_April23_CPI_data[[#This Row],[Health]])</f>
        <v>161.19999999999999</v>
      </c>
      <c r="AH312" s="2">
        <f>AVERAGE(All_India_Index_Upto_April23_CPI_data[[#This Row],[Clothing]:[Clothing and footwear]])</f>
        <v>153.6</v>
      </c>
      <c r="AI312" s="2">
        <v>162.30000000000001</v>
      </c>
      <c r="AJ312" s="1">
        <f>(All_India_Index_Upto_April23_CPI_data[[#This Row],[General index]]-AI309)/AI309</f>
        <v>0</v>
      </c>
    </row>
    <row r="313" spans="1:36" x14ac:dyDescent="0.25">
      <c r="A313" t="s">
        <v>33</v>
      </c>
      <c r="B313">
        <v>2021</v>
      </c>
      <c r="C313" t="s">
        <v>41</v>
      </c>
      <c r="D313" s="2">
        <v>146.6</v>
      </c>
      <c r="E313" s="2">
        <v>204</v>
      </c>
      <c r="F313" s="2">
        <v>172.8</v>
      </c>
      <c r="G313" s="2">
        <v>158.4</v>
      </c>
      <c r="H313" s="2">
        <v>188</v>
      </c>
      <c r="I313" s="2">
        <v>156.69999999999999</v>
      </c>
      <c r="J313" s="2">
        <v>162.30000000000001</v>
      </c>
      <c r="K313" s="2">
        <v>164.1</v>
      </c>
      <c r="L313" s="2">
        <v>119.7</v>
      </c>
      <c r="M313" s="2">
        <v>168.8</v>
      </c>
      <c r="N313" s="2">
        <v>162.69999999999999</v>
      </c>
      <c r="O313" s="2">
        <v>173.9</v>
      </c>
      <c r="P313" s="2">
        <v>164</v>
      </c>
      <c r="Q313" s="2">
        <v>192.1</v>
      </c>
      <c r="R313" s="2">
        <v>164.6</v>
      </c>
      <c r="S313" s="2">
        <v>155.30000000000001</v>
      </c>
      <c r="T313" s="2">
        <v>163.30000000000001</v>
      </c>
      <c r="U313" s="2">
        <v>162.1</v>
      </c>
      <c r="V313" s="2">
        <v>162.6</v>
      </c>
      <c r="W313" s="2">
        <v>157.5</v>
      </c>
      <c r="X313" s="2">
        <v>168.4</v>
      </c>
      <c r="Y313" s="2">
        <v>154</v>
      </c>
      <c r="Z313" s="2">
        <v>157.69999999999999</v>
      </c>
      <c r="AA313" s="2">
        <v>163.69999999999999</v>
      </c>
      <c r="AB313" s="2">
        <v>160</v>
      </c>
      <c r="AC313" s="2">
        <v>160</v>
      </c>
      <c r="AD313" s="2">
        <f>AVERAGE(All_India_Index_Upto_April23_CPI_data[[#This Row],[Cereals and products]:[Food and beverages]])</f>
        <v>164.76923076923077</v>
      </c>
      <c r="AE313" s="2">
        <f>AVERAGE(All_India_Index_Upto_April23_CPI_data[[#This Row],[Recreation and amusement]],All_India_Index_Upto_April23_CPI_data[[#This Row],[Pan, tobacco and intoxicants]])</f>
        <v>174.89999999999998</v>
      </c>
      <c r="AF313" s="2">
        <f>AVERAGE(All_India_Index_Upto_April23_CPI_data[[#This Row],[Household goods and services]],All_India_Index_Upto_April23_CPI_data[[#This Row],[Housing]])</f>
        <v>159.80000000000001</v>
      </c>
      <c r="AG313" s="2">
        <f>AVERAGE(All_India_Index_Upto_April23_CPI_data[[#This Row],[Personal care and effects]],All_India_Index_Upto_April23_CPI_data[[#This Row],[Health]])</f>
        <v>164.2</v>
      </c>
      <c r="AH313" s="2">
        <f>AVERAGE(All_India_Index_Upto_April23_CPI_data[[#This Row],[Clothing]:[Clothing and footwear]])</f>
        <v>161.06666666666666</v>
      </c>
      <c r="AI313" s="2">
        <v>163.19999999999999</v>
      </c>
      <c r="AJ313" s="1">
        <f>(All_India_Index_Upto_April23_CPI_data[[#This Row],[General index]]-AI310)/AI310</f>
        <v>0</v>
      </c>
    </row>
    <row r="314" spans="1:36" x14ac:dyDescent="0.25">
      <c r="A314" t="s">
        <v>30</v>
      </c>
      <c r="B314">
        <v>2021</v>
      </c>
      <c r="C314" t="s">
        <v>42</v>
      </c>
      <c r="D314" s="2">
        <v>146.1</v>
      </c>
      <c r="E314" s="2">
        <v>202.5</v>
      </c>
      <c r="F314" s="2">
        <v>170.1</v>
      </c>
      <c r="G314" s="2">
        <v>158.4</v>
      </c>
      <c r="H314" s="2">
        <v>198.8</v>
      </c>
      <c r="I314" s="2">
        <v>152.6</v>
      </c>
      <c r="J314" s="2">
        <v>170.4</v>
      </c>
      <c r="K314" s="2">
        <v>165.2</v>
      </c>
      <c r="L314" s="2">
        <v>121.6</v>
      </c>
      <c r="M314" s="2">
        <v>170.6</v>
      </c>
      <c r="N314" s="2">
        <v>168.8</v>
      </c>
      <c r="O314" s="2">
        <v>173.6</v>
      </c>
      <c r="P314" s="2">
        <v>165.5</v>
      </c>
      <c r="Q314" s="2">
        <v>191.2</v>
      </c>
      <c r="R314" s="2">
        <v>168.9</v>
      </c>
      <c r="S314" s="2">
        <v>164.8</v>
      </c>
      <c r="T314" s="2">
        <v>168.3</v>
      </c>
      <c r="U314" s="2">
        <v>0</v>
      </c>
      <c r="V314" s="2">
        <v>165.5</v>
      </c>
      <c r="W314" s="2">
        <v>162</v>
      </c>
      <c r="X314" s="2">
        <v>172.5</v>
      </c>
      <c r="Y314" s="2">
        <v>159.5</v>
      </c>
      <c r="Z314" s="2">
        <v>163.19999999999999</v>
      </c>
      <c r="AA314" s="2">
        <v>169</v>
      </c>
      <c r="AB314" s="2">
        <v>161.1</v>
      </c>
      <c r="AC314" s="2">
        <v>164.7</v>
      </c>
      <c r="AD314" s="2">
        <f>AVERAGE(All_India_Index_Upto_April23_CPI_data[[#This Row],[Cereals and products]:[Food and beverages]])</f>
        <v>166.47692307692307</v>
      </c>
      <c r="AE314" s="2">
        <f>AVERAGE(All_India_Index_Upto_April23_CPI_data[[#This Row],[Recreation and amusement]],All_India_Index_Upto_April23_CPI_data[[#This Row],[Pan, tobacco and intoxicants]])</f>
        <v>177.2</v>
      </c>
      <c r="AF314" s="2">
        <f>AVERAGE(All_India_Index_Upto_April23_CPI_data[[#This Row],[Household goods and services]],All_India_Index_Upto_April23_CPI_data[[#This Row],[Housing]])</f>
        <v>81</v>
      </c>
      <c r="AG314" s="2">
        <f>AVERAGE(All_India_Index_Upto_April23_CPI_data[[#This Row],[Personal care and effects]],All_India_Index_Upto_April23_CPI_data[[#This Row],[Health]])</f>
        <v>166.8</v>
      </c>
      <c r="AH314" s="2">
        <f>AVERAGE(All_India_Index_Upto_April23_CPI_data[[#This Row],[Clothing]:[Clothing and footwear]])</f>
        <v>167.33333333333334</v>
      </c>
      <c r="AI314" s="2">
        <v>166.3</v>
      </c>
      <c r="AJ314" s="1">
        <f>(All_India_Index_Upto_April23_CPI_data[[#This Row],[General index]]-AI311)/AI311</f>
        <v>1.4024390243902509E-2</v>
      </c>
    </row>
    <row r="315" spans="1:36" x14ac:dyDescent="0.25">
      <c r="A315" t="s">
        <v>32</v>
      </c>
      <c r="B315">
        <v>2021</v>
      </c>
      <c r="C315" t="s">
        <v>42</v>
      </c>
      <c r="D315" s="2">
        <v>150.1</v>
      </c>
      <c r="E315" s="2">
        <v>208.4</v>
      </c>
      <c r="F315" s="2">
        <v>173</v>
      </c>
      <c r="G315" s="2">
        <v>159.19999999999999</v>
      </c>
      <c r="H315" s="2">
        <v>176.6</v>
      </c>
      <c r="I315" s="2">
        <v>159.30000000000001</v>
      </c>
      <c r="J315" s="2">
        <v>214.4</v>
      </c>
      <c r="K315" s="2">
        <v>165.3</v>
      </c>
      <c r="L315" s="2">
        <v>122.5</v>
      </c>
      <c r="M315" s="2">
        <v>166.8</v>
      </c>
      <c r="N315" s="2">
        <v>155.4</v>
      </c>
      <c r="O315" s="2">
        <v>175.9</v>
      </c>
      <c r="P315" s="2">
        <v>171.5</v>
      </c>
      <c r="Q315" s="2">
        <v>197</v>
      </c>
      <c r="R315" s="2">
        <v>160.80000000000001</v>
      </c>
      <c r="S315" s="2">
        <v>144.4</v>
      </c>
      <c r="T315" s="2">
        <v>158.30000000000001</v>
      </c>
      <c r="U315" s="2">
        <v>163.6</v>
      </c>
      <c r="V315" s="2">
        <v>162.19999999999999</v>
      </c>
      <c r="W315" s="2">
        <v>154.30000000000001</v>
      </c>
      <c r="X315" s="2">
        <v>163.5</v>
      </c>
      <c r="Y315" s="2">
        <v>152.19999999999999</v>
      </c>
      <c r="Z315" s="2">
        <v>155.1</v>
      </c>
      <c r="AA315" s="2">
        <v>160.30000000000001</v>
      </c>
      <c r="AB315" s="2">
        <v>160.30000000000001</v>
      </c>
      <c r="AC315" s="2">
        <v>157</v>
      </c>
      <c r="AD315" s="2">
        <f>AVERAGE(All_India_Index_Upto_April23_CPI_data[[#This Row],[Cereals and products]:[Food and beverages]])</f>
        <v>169.10769230769236</v>
      </c>
      <c r="AE315" s="2">
        <f>AVERAGE(All_India_Index_Upto_April23_CPI_data[[#This Row],[Recreation and amusement]],All_India_Index_Upto_April23_CPI_data[[#This Row],[Pan, tobacco and intoxicants]])</f>
        <v>176.05</v>
      </c>
      <c r="AF315" s="2">
        <f>AVERAGE(All_India_Index_Upto_April23_CPI_data[[#This Row],[Household goods and services]],All_India_Index_Upto_April23_CPI_data[[#This Row],[Housing]])</f>
        <v>158.94999999999999</v>
      </c>
      <c r="AG315" s="2">
        <f>AVERAGE(All_India_Index_Upto_April23_CPI_data[[#This Row],[Personal care and effects]],All_India_Index_Upto_April23_CPI_data[[#This Row],[Health]])</f>
        <v>161.9</v>
      </c>
      <c r="AH315" s="2">
        <f>AVERAGE(All_India_Index_Upto_April23_CPI_data[[#This Row],[Clothing]:[Clothing and footwear]])</f>
        <v>154.50000000000003</v>
      </c>
      <c r="AI315" s="2">
        <v>164.6</v>
      </c>
      <c r="AJ315" s="1">
        <f>(All_India_Index_Upto_April23_CPI_data[[#This Row],[General index]]-AI312)/AI312</f>
        <v>1.4171287738755286E-2</v>
      </c>
    </row>
    <row r="316" spans="1:36" x14ac:dyDescent="0.25">
      <c r="A316" t="s">
        <v>33</v>
      </c>
      <c r="B316">
        <v>2021</v>
      </c>
      <c r="C316" t="s">
        <v>42</v>
      </c>
      <c r="D316" s="2">
        <v>147.4</v>
      </c>
      <c r="E316" s="2">
        <v>204.6</v>
      </c>
      <c r="F316" s="2">
        <v>171.2</v>
      </c>
      <c r="G316" s="2">
        <v>158.69999999999999</v>
      </c>
      <c r="H316" s="2">
        <v>190.6</v>
      </c>
      <c r="I316" s="2">
        <v>155.69999999999999</v>
      </c>
      <c r="J316" s="2">
        <v>185.3</v>
      </c>
      <c r="K316" s="2">
        <v>165.2</v>
      </c>
      <c r="L316" s="2">
        <v>121.9</v>
      </c>
      <c r="M316" s="2">
        <v>169.3</v>
      </c>
      <c r="N316" s="2">
        <v>163.19999999999999</v>
      </c>
      <c r="O316" s="2">
        <v>174.7</v>
      </c>
      <c r="P316" s="2">
        <v>167.7</v>
      </c>
      <c r="Q316" s="2">
        <v>192.7</v>
      </c>
      <c r="R316" s="2">
        <v>165.7</v>
      </c>
      <c r="S316" s="2">
        <v>156.30000000000001</v>
      </c>
      <c r="T316" s="2">
        <v>164.3</v>
      </c>
      <c r="U316" s="2">
        <v>163.6</v>
      </c>
      <c r="V316" s="2">
        <v>164.2</v>
      </c>
      <c r="W316" s="2">
        <v>158.4</v>
      </c>
      <c r="X316" s="2">
        <v>169.1</v>
      </c>
      <c r="Y316" s="2">
        <v>155.69999999999999</v>
      </c>
      <c r="Z316" s="2">
        <v>158.6</v>
      </c>
      <c r="AA316" s="2">
        <v>163.9</v>
      </c>
      <c r="AB316" s="2">
        <v>160.80000000000001</v>
      </c>
      <c r="AC316" s="2">
        <v>161</v>
      </c>
      <c r="AD316" s="2">
        <f>AVERAGE(All_India_Index_Upto_April23_CPI_data[[#This Row],[Cereals and products]:[Food and beverages]])</f>
        <v>167.34615384615384</v>
      </c>
      <c r="AE316" s="2">
        <f>AVERAGE(All_India_Index_Upto_April23_CPI_data[[#This Row],[Recreation and amusement]],All_India_Index_Upto_April23_CPI_data[[#This Row],[Pan, tobacco and intoxicants]])</f>
        <v>175.64999999999998</v>
      </c>
      <c r="AF316" s="2">
        <f>AVERAGE(All_India_Index_Upto_April23_CPI_data[[#This Row],[Household goods and services]],All_India_Index_Upto_April23_CPI_data[[#This Row],[Housing]])</f>
        <v>161</v>
      </c>
      <c r="AG316" s="2">
        <f>AVERAGE(All_India_Index_Upto_April23_CPI_data[[#This Row],[Personal care and effects]],All_India_Index_Upto_April23_CPI_data[[#This Row],[Health]])</f>
        <v>164.95</v>
      </c>
      <c r="AH316" s="2">
        <f>AVERAGE(All_India_Index_Upto_April23_CPI_data[[#This Row],[Clothing]:[Clothing and footwear]])</f>
        <v>162.1</v>
      </c>
      <c r="AI316" s="2">
        <v>165.5</v>
      </c>
      <c r="AJ316" s="1">
        <f>(All_India_Index_Upto_April23_CPI_data[[#This Row],[General index]]-AI313)/AI313</f>
        <v>1.4093137254902032E-2</v>
      </c>
    </row>
    <row r="317" spans="1:36" x14ac:dyDescent="0.25">
      <c r="A317" t="s">
        <v>30</v>
      </c>
      <c r="B317">
        <v>2021</v>
      </c>
      <c r="C317" t="s">
        <v>43</v>
      </c>
      <c r="D317" s="2">
        <v>146.9</v>
      </c>
      <c r="E317" s="2">
        <v>199.8</v>
      </c>
      <c r="F317" s="2">
        <v>171.5</v>
      </c>
      <c r="G317" s="2">
        <v>159.1</v>
      </c>
      <c r="H317" s="2">
        <v>198.4</v>
      </c>
      <c r="I317" s="2">
        <v>153.19999999999999</v>
      </c>
      <c r="J317" s="2">
        <v>183.9</v>
      </c>
      <c r="K317" s="2">
        <v>165.4</v>
      </c>
      <c r="L317" s="2">
        <v>122.1</v>
      </c>
      <c r="M317" s="2">
        <v>170.8</v>
      </c>
      <c r="N317" s="2">
        <v>169.1</v>
      </c>
      <c r="O317" s="2">
        <v>174.3</v>
      </c>
      <c r="P317" s="2">
        <v>167.5</v>
      </c>
      <c r="Q317" s="2">
        <v>191.4</v>
      </c>
      <c r="R317" s="2">
        <v>170.4</v>
      </c>
      <c r="S317" s="2">
        <v>166</v>
      </c>
      <c r="T317" s="2">
        <v>169.8</v>
      </c>
      <c r="U317" s="2">
        <v>0</v>
      </c>
      <c r="V317" s="2">
        <v>165.3</v>
      </c>
      <c r="W317" s="2">
        <v>162.9</v>
      </c>
      <c r="X317" s="2">
        <v>173.4</v>
      </c>
      <c r="Y317" s="2">
        <v>158.9</v>
      </c>
      <c r="Z317" s="2">
        <v>163.80000000000001</v>
      </c>
      <c r="AA317" s="2">
        <v>169.3</v>
      </c>
      <c r="AB317" s="2">
        <v>162.4</v>
      </c>
      <c r="AC317" s="2">
        <v>165.2</v>
      </c>
      <c r="AD317" s="2">
        <f>AVERAGE(All_India_Index_Upto_April23_CPI_data[[#This Row],[Cereals and products]:[Food and beverages]])</f>
        <v>167.84615384615384</v>
      </c>
      <c r="AE317" s="2">
        <f>AVERAGE(All_India_Index_Upto_April23_CPI_data[[#This Row],[Recreation and amusement]],All_India_Index_Upto_April23_CPI_data[[#This Row],[Pan, tobacco and intoxicants]])</f>
        <v>177.60000000000002</v>
      </c>
      <c r="AF317" s="2">
        <f>AVERAGE(All_India_Index_Upto_April23_CPI_data[[#This Row],[Household goods and services]],All_India_Index_Upto_April23_CPI_data[[#This Row],[Housing]])</f>
        <v>81.45</v>
      </c>
      <c r="AG317" s="2">
        <f>AVERAGE(All_India_Index_Upto_April23_CPI_data[[#This Row],[Personal care and effects]],All_India_Index_Upto_April23_CPI_data[[#This Row],[Health]])</f>
        <v>167.9</v>
      </c>
      <c r="AH317" s="2">
        <f>AVERAGE(All_India_Index_Upto_April23_CPI_data[[#This Row],[Clothing]:[Clothing and footwear]])</f>
        <v>168.73333333333332</v>
      </c>
      <c r="AI317" s="2">
        <v>167.6</v>
      </c>
      <c r="AJ317" s="1">
        <f>(All_India_Index_Upto_April23_CPI_data[[#This Row],[General index]]-AI314)/AI314</f>
        <v>7.8171978352374188E-3</v>
      </c>
    </row>
    <row r="318" spans="1:36" x14ac:dyDescent="0.25">
      <c r="A318" t="s">
        <v>32</v>
      </c>
      <c r="B318">
        <v>2021</v>
      </c>
      <c r="C318" t="s">
        <v>43</v>
      </c>
      <c r="D318" s="2">
        <v>151</v>
      </c>
      <c r="E318" s="2">
        <v>204.9</v>
      </c>
      <c r="F318" s="2">
        <v>175.4</v>
      </c>
      <c r="G318" s="2">
        <v>159.6</v>
      </c>
      <c r="H318" s="2">
        <v>175.8</v>
      </c>
      <c r="I318" s="2">
        <v>160.30000000000001</v>
      </c>
      <c r="J318" s="2">
        <v>229.1</v>
      </c>
      <c r="K318" s="2">
        <v>165.1</v>
      </c>
      <c r="L318" s="2">
        <v>123.1</v>
      </c>
      <c r="M318" s="2">
        <v>167.2</v>
      </c>
      <c r="N318" s="2">
        <v>156.1</v>
      </c>
      <c r="O318" s="2">
        <v>176.8</v>
      </c>
      <c r="P318" s="2">
        <v>173.5</v>
      </c>
      <c r="Q318" s="2">
        <v>197</v>
      </c>
      <c r="R318" s="2">
        <v>162.30000000000001</v>
      </c>
      <c r="S318" s="2">
        <v>145.30000000000001</v>
      </c>
      <c r="T318" s="2">
        <v>159.69999999999999</v>
      </c>
      <c r="U318" s="2">
        <v>164.2</v>
      </c>
      <c r="V318" s="2">
        <v>161.6</v>
      </c>
      <c r="W318" s="2">
        <v>155.19999999999999</v>
      </c>
      <c r="X318" s="2">
        <v>164.2</v>
      </c>
      <c r="Y318" s="2">
        <v>151.19999999999999</v>
      </c>
      <c r="Z318" s="2">
        <v>156.69999999999999</v>
      </c>
      <c r="AA318" s="2">
        <v>160.80000000000001</v>
      </c>
      <c r="AB318" s="2">
        <v>161.80000000000001</v>
      </c>
      <c r="AC318" s="2">
        <v>157.30000000000001</v>
      </c>
      <c r="AD318" s="2">
        <f>AVERAGE(All_India_Index_Upto_April23_CPI_data[[#This Row],[Cereals and products]:[Food and beverages]])</f>
        <v>170.60769230769228</v>
      </c>
      <c r="AE318" s="2">
        <f>AVERAGE(All_India_Index_Upto_April23_CPI_data[[#This Row],[Recreation and amusement]],All_India_Index_Upto_April23_CPI_data[[#This Row],[Pan, tobacco and intoxicants]])</f>
        <v>176.85</v>
      </c>
      <c r="AF318" s="2">
        <f>AVERAGE(All_India_Index_Upto_April23_CPI_data[[#This Row],[Household goods and services]],All_India_Index_Upto_April23_CPI_data[[#This Row],[Housing]])</f>
        <v>159.69999999999999</v>
      </c>
      <c r="AG318" s="2">
        <f>AVERAGE(All_India_Index_Upto_April23_CPI_data[[#This Row],[Personal care and effects]],All_India_Index_Upto_April23_CPI_data[[#This Row],[Health]])</f>
        <v>163</v>
      </c>
      <c r="AH318" s="2">
        <f>AVERAGE(All_India_Index_Upto_April23_CPI_data[[#This Row],[Clothing]:[Clothing and footwear]])</f>
        <v>155.76666666666668</v>
      </c>
      <c r="AI318" s="2">
        <v>165.6</v>
      </c>
      <c r="AJ318" s="1">
        <f>(All_India_Index_Upto_April23_CPI_data[[#This Row],[General index]]-AI315)/AI315</f>
        <v>6.0753341433778859E-3</v>
      </c>
    </row>
    <row r="319" spans="1:36" x14ac:dyDescent="0.25">
      <c r="A319" t="s">
        <v>33</v>
      </c>
      <c r="B319">
        <v>2021</v>
      </c>
      <c r="C319" t="s">
        <v>43</v>
      </c>
      <c r="D319" s="2">
        <v>148.19999999999999</v>
      </c>
      <c r="E319" s="2">
        <v>201.6</v>
      </c>
      <c r="F319" s="2">
        <v>173</v>
      </c>
      <c r="G319" s="2">
        <v>159.30000000000001</v>
      </c>
      <c r="H319" s="2">
        <v>190.1</v>
      </c>
      <c r="I319" s="2">
        <v>156.5</v>
      </c>
      <c r="J319" s="2">
        <v>199.2</v>
      </c>
      <c r="K319" s="2">
        <v>165.3</v>
      </c>
      <c r="L319" s="2">
        <v>122.4</v>
      </c>
      <c r="M319" s="2">
        <v>169.6</v>
      </c>
      <c r="N319" s="2">
        <v>163.69999999999999</v>
      </c>
      <c r="O319" s="2">
        <v>175.5</v>
      </c>
      <c r="P319" s="2">
        <v>169.7</v>
      </c>
      <c r="Q319" s="2">
        <v>192.9</v>
      </c>
      <c r="R319" s="2">
        <v>167.2</v>
      </c>
      <c r="S319" s="2">
        <v>157.4</v>
      </c>
      <c r="T319" s="2">
        <v>165.8</v>
      </c>
      <c r="U319" s="2">
        <v>164.2</v>
      </c>
      <c r="V319" s="2">
        <v>163.9</v>
      </c>
      <c r="W319" s="2">
        <v>159.30000000000001</v>
      </c>
      <c r="X319" s="2">
        <v>169.9</v>
      </c>
      <c r="Y319" s="2">
        <v>154.80000000000001</v>
      </c>
      <c r="Z319" s="2">
        <v>159.80000000000001</v>
      </c>
      <c r="AA319" s="2">
        <v>164.3</v>
      </c>
      <c r="AB319" s="2">
        <v>162.19999999999999</v>
      </c>
      <c r="AC319" s="2">
        <v>161.4</v>
      </c>
      <c r="AD319" s="2">
        <f>AVERAGE(All_India_Index_Upto_April23_CPI_data[[#This Row],[Cereals and products]:[Food and beverages]])</f>
        <v>168.77692307692308</v>
      </c>
      <c r="AE319" s="2">
        <f>AVERAGE(All_India_Index_Upto_April23_CPI_data[[#This Row],[Recreation and amusement]],All_India_Index_Upto_April23_CPI_data[[#This Row],[Pan, tobacco and intoxicants]])</f>
        <v>176.35000000000002</v>
      </c>
      <c r="AF319" s="2">
        <f>AVERAGE(All_India_Index_Upto_April23_CPI_data[[#This Row],[Household goods and services]],All_India_Index_Upto_April23_CPI_data[[#This Row],[Housing]])</f>
        <v>161.75</v>
      </c>
      <c r="AG319" s="2">
        <f>AVERAGE(All_India_Index_Upto_April23_CPI_data[[#This Row],[Personal care and effects]],All_India_Index_Upto_April23_CPI_data[[#This Row],[Health]])</f>
        <v>166.05</v>
      </c>
      <c r="AH319" s="2">
        <f>AVERAGE(All_India_Index_Upto_April23_CPI_data[[#This Row],[Clothing]:[Clothing and footwear]])</f>
        <v>163.46666666666667</v>
      </c>
      <c r="AI319" s="2">
        <v>166.7</v>
      </c>
      <c r="AJ319" s="1">
        <f>(All_India_Index_Upto_April23_CPI_data[[#This Row],[General index]]-AI316)/AI316</f>
        <v>7.2507552870089949E-3</v>
      </c>
    </row>
    <row r="320" spans="1:36" x14ac:dyDescent="0.25">
      <c r="A320" t="s">
        <v>30</v>
      </c>
      <c r="B320">
        <v>2021</v>
      </c>
      <c r="C320" t="s">
        <v>44</v>
      </c>
      <c r="D320" s="2">
        <v>147.4</v>
      </c>
      <c r="E320" s="2">
        <v>197</v>
      </c>
      <c r="F320" s="2">
        <v>176.5</v>
      </c>
      <c r="G320" s="2">
        <v>159.80000000000001</v>
      </c>
      <c r="H320" s="2">
        <v>195.8</v>
      </c>
      <c r="I320" s="2">
        <v>152</v>
      </c>
      <c r="J320" s="2">
        <v>172.3</v>
      </c>
      <c r="K320" s="2">
        <v>164.5</v>
      </c>
      <c r="L320" s="2">
        <v>120.6</v>
      </c>
      <c r="M320" s="2">
        <v>171.7</v>
      </c>
      <c r="N320" s="2">
        <v>169.7</v>
      </c>
      <c r="O320" s="2">
        <v>175.1</v>
      </c>
      <c r="P320" s="2">
        <v>165.8</v>
      </c>
      <c r="Q320" s="2">
        <v>190.8</v>
      </c>
      <c r="R320" s="2">
        <v>171.8</v>
      </c>
      <c r="S320" s="2">
        <v>167.3</v>
      </c>
      <c r="T320" s="2">
        <v>171.2</v>
      </c>
      <c r="U320" s="2">
        <v>0</v>
      </c>
      <c r="V320" s="2">
        <v>165.6</v>
      </c>
      <c r="W320" s="2">
        <v>163.9</v>
      </c>
      <c r="X320" s="2">
        <v>174</v>
      </c>
      <c r="Y320" s="2">
        <v>160.1</v>
      </c>
      <c r="Z320" s="2">
        <v>164.5</v>
      </c>
      <c r="AA320" s="2">
        <v>169.7</v>
      </c>
      <c r="AB320" s="2">
        <v>162.80000000000001</v>
      </c>
      <c r="AC320" s="2">
        <v>166</v>
      </c>
      <c r="AD320" s="2">
        <f>AVERAGE(All_India_Index_Upto_April23_CPI_data[[#This Row],[Cereals and products]:[Food and beverages]])</f>
        <v>166.78461538461536</v>
      </c>
      <c r="AE320" s="2">
        <f>AVERAGE(All_India_Index_Upto_April23_CPI_data[[#This Row],[Recreation and amusement]],All_India_Index_Upto_April23_CPI_data[[#This Row],[Pan, tobacco and intoxicants]])</f>
        <v>177.65</v>
      </c>
      <c r="AF320" s="2">
        <f>AVERAGE(All_India_Index_Upto_April23_CPI_data[[#This Row],[Household goods and services]],All_India_Index_Upto_April23_CPI_data[[#This Row],[Housing]])</f>
        <v>81.95</v>
      </c>
      <c r="AG320" s="2">
        <f>AVERAGE(All_India_Index_Upto_April23_CPI_data[[#This Row],[Personal care and effects]],All_India_Index_Upto_April23_CPI_data[[#This Row],[Health]])</f>
        <v>168.4</v>
      </c>
      <c r="AH320" s="2">
        <f>AVERAGE(All_India_Index_Upto_April23_CPI_data[[#This Row],[Clothing]:[Clothing and footwear]])</f>
        <v>170.1</v>
      </c>
      <c r="AI320" s="2">
        <v>167</v>
      </c>
      <c r="AJ320" s="1">
        <f>(All_India_Index_Upto_April23_CPI_data[[#This Row],[General index]]-AI317)/AI317</f>
        <v>-3.579952267303069E-3</v>
      </c>
    </row>
    <row r="321" spans="1:40" x14ac:dyDescent="0.25">
      <c r="A321" t="s">
        <v>32</v>
      </c>
      <c r="B321">
        <v>2021</v>
      </c>
      <c r="C321" t="s">
        <v>44</v>
      </c>
      <c r="D321" s="2">
        <v>151.6</v>
      </c>
      <c r="E321" s="2">
        <v>202.2</v>
      </c>
      <c r="F321" s="2">
        <v>180</v>
      </c>
      <c r="G321" s="2">
        <v>160</v>
      </c>
      <c r="H321" s="2">
        <v>173.5</v>
      </c>
      <c r="I321" s="2">
        <v>158.30000000000001</v>
      </c>
      <c r="J321" s="2">
        <v>219.5</v>
      </c>
      <c r="K321" s="2">
        <v>164.2</v>
      </c>
      <c r="L321" s="2">
        <v>121.9</v>
      </c>
      <c r="M321" s="2">
        <v>168.2</v>
      </c>
      <c r="N321" s="2">
        <v>156.5</v>
      </c>
      <c r="O321" s="2">
        <v>178.2</v>
      </c>
      <c r="P321" s="2">
        <v>172.2</v>
      </c>
      <c r="Q321" s="2">
        <v>196.8</v>
      </c>
      <c r="R321" s="2">
        <v>163.30000000000001</v>
      </c>
      <c r="S321" s="2">
        <v>146.69999999999999</v>
      </c>
      <c r="T321" s="2">
        <v>160.69999999999999</v>
      </c>
      <c r="U321" s="2">
        <v>163.4</v>
      </c>
      <c r="V321" s="2">
        <v>161.69999999999999</v>
      </c>
      <c r="W321" s="2">
        <v>156</v>
      </c>
      <c r="X321" s="2">
        <v>165.1</v>
      </c>
      <c r="Y321" s="2">
        <v>151.80000000000001</v>
      </c>
      <c r="Z321" s="2">
        <v>157.6</v>
      </c>
      <c r="AA321" s="2">
        <v>160.6</v>
      </c>
      <c r="AB321" s="2">
        <v>162.4</v>
      </c>
      <c r="AC321" s="2">
        <v>157.80000000000001</v>
      </c>
      <c r="AD321" s="2">
        <f>AVERAGE(All_India_Index_Upto_April23_CPI_data[[#This Row],[Cereals and products]:[Food and beverages]])</f>
        <v>169.71538461538464</v>
      </c>
      <c r="AE321" s="2">
        <f>AVERAGE(All_India_Index_Upto_April23_CPI_data[[#This Row],[Recreation and amusement]],All_India_Index_Upto_April23_CPI_data[[#This Row],[Pan, tobacco and intoxicants]])</f>
        <v>177.2</v>
      </c>
      <c r="AF321" s="2">
        <f>AVERAGE(All_India_Index_Upto_April23_CPI_data[[#This Row],[Household goods and services]],All_India_Index_Upto_April23_CPI_data[[#This Row],[Housing]])</f>
        <v>159.69999999999999</v>
      </c>
      <c r="AG321" s="2">
        <f>AVERAGE(All_India_Index_Upto_April23_CPI_data[[#This Row],[Personal care and effects]],All_India_Index_Upto_April23_CPI_data[[#This Row],[Health]])</f>
        <v>163.75</v>
      </c>
      <c r="AH321" s="2">
        <f>AVERAGE(All_India_Index_Upto_April23_CPI_data[[#This Row],[Clothing]:[Clothing and footwear]])</f>
        <v>156.9</v>
      </c>
      <c r="AI321" s="2">
        <v>165.2</v>
      </c>
      <c r="AJ321" s="1">
        <f>(All_India_Index_Upto_April23_CPI_data[[#This Row],[General index]]-AI318)/AI318</f>
        <v>-2.4154589371981022E-3</v>
      </c>
    </row>
    <row r="322" spans="1:40" x14ac:dyDescent="0.25">
      <c r="A322" t="s">
        <v>33</v>
      </c>
      <c r="B322">
        <v>2021</v>
      </c>
      <c r="C322" t="s">
        <v>44</v>
      </c>
      <c r="D322" s="2">
        <v>148.69999999999999</v>
      </c>
      <c r="E322" s="2">
        <v>198.8</v>
      </c>
      <c r="F322" s="2">
        <v>177.9</v>
      </c>
      <c r="G322" s="2">
        <v>159.9</v>
      </c>
      <c r="H322" s="2">
        <v>187.6</v>
      </c>
      <c r="I322" s="2">
        <v>154.9</v>
      </c>
      <c r="J322" s="2">
        <v>188.3</v>
      </c>
      <c r="K322" s="2">
        <v>164.4</v>
      </c>
      <c r="L322" s="2">
        <v>121</v>
      </c>
      <c r="M322" s="2">
        <v>170.5</v>
      </c>
      <c r="N322" s="2">
        <v>164.2</v>
      </c>
      <c r="O322" s="2">
        <v>176.5</v>
      </c>
      <c r="P322" s="2">
        <v>168.2</v>
      </c>
      <c r="Q322" s="2">
        <v>192.4</v>
      </c>
      <c r="R322" s="2">
        <v>168.5</v>
      </c>
      <c r="S322" s="2">
        <v>158.69999999999999</v>
      </c>
      <c r="T322" s="2">
        <v>167</v>
      </c>
      <c r="U322" s="2">
        <v>163.4</v>
      </c>
      <c r="V322" s="2">
        <v>164.1</v>
      </c>
      <c r="W322" s="2">
        <v>160.19999999999999</v>
      </c>
      <c r="X322" s="2">
        <v>170.6</v>
      </c>
      <c r="Y322" s="2">
        <v>155.69999999999999</v>
      </c>
      <c r="Z322" s="2">
        <v>160.6</v>
      </c>
      <c r="AA322" s="2">
        <v>164.4</v>
      </c>
      <c r="AB322" s="2">
        <v>162.6</v>
      </c>
      <c r="AC322" s="2">
        <v>162</v>
      </c>
      <c r="AD322" s="2">
        <f>AVERAGE(All_India_Index_Upto_April23_CPI_data[[#This Row],[Cereals and products]:[Food and beverages]])</f>
        <v>167.76153846153846</v>
      </c>
      <c r="AE322" s="2">
        <f>AVERAGE(All_India_Index_Upto_April23_CPI_data[[#This Row],[Recreation and amusement]],All_India_Index_Upto_April23_CPI_data[[#This Row],[Pan, tobacco and intoxicants]])</f>
        <v>176.5</v>
      </c>
      <c r="AF322" s="2">
        <f>AVERAGE(All_India_Index_Upto_April23_CPI_data[[#This Row],[Household goods and services]],All_India_Index_Upto_April23_CPI_data[[#This Row],[Housing]])</f>
        <v>161.80000000000001</v>
      </c>
      <c r="AG322" s="2">
        <f>AVERAGE(All_India_Index_Upto_April23_CPI_data[[#This Row],[Personal care and effects]],All_India_Index_Upto_April23_CPI_data[[#This Row],[Health]])</f>
        <v>166.6</v>
      </c>
      <c r="AH322" s="2">
        <f>AVERAGE(All_India_Index_Upto_April23_CPI_data[[#This Row],[Clothing]:[Clothing and footwear]])</f>
        <v>164.73333333333332</v>
      </c>
      <c r="AI322" s="2">
        <v>166.2</v>
      </c>
      <c r="AJ322" s="1">
        <f>(All_India_Index_Upto_April23_CPI_data[[#This Row],[General index]]-AI319)/AI319</f>
        <v>-2.999400119976005E-3</v>
      </c>
    </row>
    <row r="323" spans="1:40" x14ac:dyDescent="0.25">
      <c r="A323" t="s">
        <v>30</v>
      </c>
      <c r="B323">
        <v>2022</v>
      </c>
      <c r="C323" t="s">
        <v>31</v>
      </c>
      <c r="D323" s="2">
        <v>148.30000000000001</v>
      </c>
      <c r="E323" s="2">
        <v>196.9</v>
      </c>
      <c r="F323" s="2">
        <v>178</v>
      </c>
      <c r="G323" s="2">
        <v>160.5</v>
      </c>
      <c r="H323" s="2">
        <v>192.6</v>
      </c>
      <c r="I323" s="2">
        <v>151.19999999999999</v>
      </c>
      <c r="J323" s="2">
        <v>159.19999999999999</v>
      </c>
      <c r="K323" s="2">
        <v>164</v>
      </c>
      <c r="L323" s="2">
        <v>119.3</v>
      </c>
      <c r="M323" s="2">
        <v>173.3</v>
      </c>
      <c r="N323" s="2">
        <v>169.8</v>
      </c>
      <c r="O323" s="2">
        <v>175.8</v>
      </c>
      <c r="P323" s="2">
        <v>164.1</v>
      </c>
      <c r="Q323" s="2">
        <v>190.7</v>
      </c>
      <c r="R323" s="2">
        <v>173.2</v>
      </c>
      <c r="S323" s="2">
        <v>169.3</v>
      </c>
      <c r="T323" s="2">
        <v>172.7</v>
      </c>
      <c r="U323" s="2">
        <v>0</v>
      </c>
      <c r="V323" s="2">
        <v>165.8</v>
      </c>
      <c r="W323" s="2">
        <v>164.9</v>
      </c>
      <c r="X323" s="2">
        <v>174.7</v>
      </c>
      <c r="Y323" s="2">
        <v>160.80000000000001</v>
      </c>
      <c r="Z323" s="2">
        <v>164.9</v>
      </c>
      <c r="AA323" s="2">
        <v>169.9</v>
      </c>
      <c r="AB323" s="2">
        <v>163.19999999999999</v>
      </c>
      <c r="AC323" s="2">
        <v>166.6</v>
      </c>
      <c r="AD323" s="2">
        <f>AVERAGE(All_India_Index_Upto_April23_CPI_data[[#This Row],[Cereals and products]:[Food and beverages]])</f>
        <v>165.61538461538461</v>
      </c>
      <c r="AE323" s="2">
        <f>AVERAGE(All_India_Index_Upto_April23_CPI_data[[#This Row],[Recreation and amusement]],All_India_Index_Upto_April23_CPI_data[[#This Row],[Pan, tobacco and intoxicants]])</f>
        <v>177.8</v>
      </c>
      <c r="AF323" s="2">
        <f>AVERAGE(All_India_Index_Upto_April23_CPI_data[[#This Row],[Household goods and services]],All_India_Index_Upto_April23_CPI_data[[#This Row],[Housing]])</f>
        <v>82.45</v>
      </c>
      <c r="AG323" s="2">
        <f>AVERAGE(All_India_Index_Upto_April23_CPI_data[[#This Row],[Personal care and effects]],All_India_Index_Upto_April23_CPI_data[[#This Row],[Health]])</f>
        <v>168.95</v>
      </c>
      <c r="AH323" s="2">
        <f>AVERAGE(All_India_Index_Upto_April23_CPI_data[[#This Row],[Clothing]:[Clothing and footwear]])</f>
        <v>171.73333333333335</v>
      </c>
      <c r="AI323" s="2">
        <v>166.4</v>
      </c>
      <c r="AJ323" s="1">
        <f>(All_India_Index_Upto_April23_CPI_data[[#This Row],[General index]]-AI320)/AI320</f>
        <v>-3.5928143712574512E-3</v>
      </c>
      <c r="AN323">
        <v>2022</v>
      </c>
    </row>
    <row r="324" spans="1:40" x14ac:dyDescent="0.25">
      <c r="A324" t="s">
        <v>32</v>
      </c>
      <c r="B324">
        <v>2022</v>
      </c>
      <c r="C324" t="s">
        <v>31</v>
      </c>
      <c r="D324" s="2">
        <v>152.19999999999999</v>
      </c>
      <c r="E324" s="2">
        <v>202.1</v>
      </c>
      <c r="F324" s="2">
        <v>180.1</v>
      </c>
      <c r="G324" s="2">
        <v>160.4</v>
      </c>
      <c r="H324" s="2">
        <v>171</v>
      </c>
      <c r="I324" s="2">
        <v>156.5</v>
      </c>
      <c r="J324" s="2">
        <v>203.6</v>
      </c>
      <c r="K324" s="2">
        <v>163.80000000000001</v>
      </c>
      <c r="L324" s="2">
        <v>121.3</v>
      </c>
      <c r="M324" s="2">
        <v>169.8</v>
      </c>
      <c r="N324" s="2">
        <v>156.6</v>
      </c>
      <c r="O324" s="2">
        <v>179</v>
      </c>
      <c r="P324" s="2">
        <v>170.3</v>
      </c>
      <c r="Q324" s="2">
        <v>196.4</v>
      </c>
      <c r="R324" s="2">
        <v>164.7</v>
      </c>
      <c r="S324" s="2">
        <v>148.5</v>
      </c>
      <c r="T324" s="2">
        <v>162.19999999999999</v>
      </c>
      <c r="U324" s="2">
        <v>164.5</v>
      </c>
      <c r="V324" s="2">
        <v>161.6</v>
      </c>
      <c r="W324" s="2">
        <v>156.80000000000001</v>
      </c>
      <c r="X324" s="2">
        <v>166.1</v>
      </c>
      <c r="Y324" s="2">
        <v>152.69999999999999</v>
      </c>
      <c r="Z324" s="2">
        <v>158.4</v>
      </c>
      <c r="AA324" s="2">
        <v>161</v>
      </c>
      <c r="AB324" s="2">
        <v>162.80000000000001</v>
      </c>
      <c r="AC324" s="2">
        <v>158.6</v>
      </c>
      <c r="AD324" s="2">
        <f>AVERAGE(All_India_Index_Upto_April23_CPI_data[[#This Row],[Cereals and products]:[Food and beverages]])</f>
        <v>168.2076923076923</v>
      </c>
      <c r="AE324" s="2">
        <f>AVERAGE(All_India_Index_Upto_April23_CPI_data[[#This Row],[Recreation and amusement]],All_India_Index_Upto_April23_CPI_data[[#This Row],[Pan, tobacco and intoxicants]])</f>
        <v>177.4</v>
      </c>
      <c r="AF324" s="2">
        <f>AVERAGE(All_India_Index_Upto_April23_CPI_data[[#This Row],[Household goods and services]],All_India_Index_Upto_April23_CPI_data[[#This Row],[Housing]])</f>
        <v>160.65</v>
      </c>
      <c r="AG324" s="2">
        <f>AVERAGE(All_India_Index_Upto_April23_CPI_data[[#This Row],[Personal care and effects]],All_India_Index_Upto_April23_CPI_data[[#This Row],[Health]])</f>
        <v>164.45</v>
      </c>
      <c r="AH324" s="2">
        <f>AVERAGE(All_India_Index_Upto_April23_CPI_data[[#This Row],[Clothing]:[Clothing and footwear]])</f>
        <v>158.46666666666667</v>
      </c>
      <c r="AI324" s="2">
        <v>165</v>
      </c>
      <c r="AJ324" s="1">
        <f>(All_India_Index_Upto_April23_CPI_data[[#This Row],[General index]]-AI321)/AI321</f>
        <v>-1.2106537530265657E-3</v>
      </c>
      <c r="AN324">
        <v>2023</v>
      </c>
    </row>
    <row r="325" spans="1:40" x14ac:dyDescent="0.25">
      <c r="A325" t="s">
        <v>33</v>
      </c>
      <c r="B325">
        <v>2022</v>
      </c>
      <c r="C325" t="s">
        <v>31</v>
      </c>
      <c r="D325" s="2">
        <v>149.5</v>
      </c>
      <c r="E325" s="2">
        <v>198.7</v>
      </c>
      <c r="F325" s="2">
        <v>178.8</v>
      </c>
      <c r="G325" s="2">
        <v>160.5</v>
      </c>
      <c r="H325" s="2">
        <v>184.7</v>
      </c>
      <c r="I325" s="2">
        <v>153.69999999999999</v>
      </c>
      <c r="J325" s="2">
        <v>174.3</v>
      </c>
      <c r="K325" s="2">
        <v>163.9</v>
      </c>
      <c r="L325" s="2">
        <v>120</v>
      </c>
      <c r="M325" s="2">
        <v>172.1</v>
      </c>
      <c r="N325" s="2">
        <v>164.3</v>
      </c>
      <c r="O325" s="2">
        <v>177.3</v>
      </c>
      <c r="P325" s="2">
        <v>166.4</v>
      </c>
      <c r="Q325" s="2">
        <v>192.2</v>
      </c>
      <c r="R325" s="2">
        <v>169.9</v>
      </c>
      <c r="S325" s="2">
        <v>160.69999999999999</v>
      </c>
      <c r="T325" s="2">
        <v>168.5</v>
      </c>
      <c r="U325" s="2">
        <v>164.5</v>
      </c>
      <c r="V325" s="2">
        <v>164.2</v>
      </c>
      <c r="W325" s="2">
        <v>161.1</v>
      </c>
      <c r="X325" s="2">
        <v>171.4</v>
      </c>
      <c r="Y325" s="2">
        <v>156.5</v>
      </c>
      <c r="Z325" s="2">
        <v>161.19999999999999</v>
      </c>
      <c r="AA325" s="2">
        <v>164.7</v>
      </c>
      <c r="AB325" s="2">
        <v>163</v>
      </c>
      <c r="AC325" s="2">
        <v>162.69999999999999</v>
      </c>
      <c r="AD325" s="2">
        <f>AVERAGE(All_India_Index_Upto_April23_CPI_data[[#This Row],[Cereals and products]:[Food and beverages]])</f>
        <v>166.47692307692307</v>
      </c>
      <c r="AE325" s="2">
        <f>AVERAGE(All_India_Index_Upto_April23_CPI_data[[#This Row],[Recreation and amusement]],All_India_Index_Upto_April23_CPI_data[[#This Row],[Pan, tobacco and intoxicants]])</f>
        <v>176.7</v>
      </c>
      <c r="AF325" s="2">
        <f>AVERAGE(All_India_Index_Upto_April23_CPI_data[[#This Row],[Household goods and services]],All_India_Index_Upto_April23_CPI_data[[#This Row],[Housing]])</f>
        <v>162.80000000000001</v>
      </c>
      <c r="AG325" s="2">
        <f>AVERAGE(All_India_Index_Upto_April23_CPI_data[[#This Row],[Personal care and effects]],All_India_Index_Upto_April23_CPI_data[[#This Row],[Health]])</f>
        <v>167.2</v>
      </c>
      <c r="AH325" s="2">
        <f>AVERAGE(All_India_Index_Upto_April23_CPI_data[[#This Row],[Clothing]:[Clothing and footwear]])</f>
        <v>166.36666666666667</v>
      </c>
      <c r="AI325" s="2">
        <v>165.7</v>
      </c>
      <c r="AJ325" s="1">
        <f>(All_India_Index_Upto_April23_CPI_data[[#This Row],[General index]]-AI322)/AI322</f>
        <v>-3.0084235860409147E-3</v>
      </c>
    </row>
    <row r="326" spans="1:40" x14ac:dyDescent="0.25">
      <c r="A326" t="s">
        <v>30</v>
      </c>
      <c r="B326">
        <v>2022</v>
      </c>
      <c r="C326" t="s">
        <v>34</v>
      </c>
      <c r="D326" s="2">
        <v>148.80000000000001</v>
      </c>
      <c r="E326" s="2">
        <v>198.1</v>
      </c>
      <c r="F326" s="2">
        <v>175.5</v>
      </c>
      <c r="G326" s="2">
        <v>160.69999999999999</v>
      </c>
      <c r="H326" s="2">
        <v>192.6</v>
      </c>
      <c r="I326" s="2">
        <v>151.4</v>
      </c>
      <c r="J326" s="2">
        <v>155.19999999999999</v>
      </c>
      <c r="K326" s="2">
        <v>163.9</v>
      </c>
      <c r="L326" s="2">
        <v>118.1</v>
      </c>
      <c r="M326" s="2">
        <v>175.4</v>
      </c>
      <c r="N326" s="2">
        <v>170.5</v>
      </c>
      <c r="O326" s="2">
        <v>176.3</v>
      </c>
      <c r="P326" s="2">
        <v>163.9</v>
      </c>
      <c r="Q326" s="2">
        <v>191.5</v>
      </c>
      <c r="R326" s="2">
        <v>174.1</v>
      </c>
      <c r="S326" s="2">
        <v>171</v>
      </c>
      <c r="T326" s="2">
        <v>173.7</v>
      </c>
      <c r="U326" s="2">
        <v>0</v>
      </c>
      <c r="V326" s="2">
        <v>167.4</v>
      </c>
      <c r="W326" s="2">
        <v>165.7</v>
      </c>
      <c r="X326" s="2">
        <v>175.3</v>
      </c>
      <c r="Y326" s="2">
        <v>161.19999999999999</v>
      </c>
      <c r="Z326" s="2">
        <v>165.5</v>
      </c>
      <c r="AA326" s="2">
        <v>170.3</v>
      </c>
      <c r="AB326" s="2">
        <v>164.5</v>
      </c>
      <c r="AC326" s="2">
        <v>167.3</v>
      </c>
      <c r="AD326" s="2">
        <f>AVERAGE(All_India_Index_Upto_April23_CPI_data[[#This Row],[Cereals and products]:[Food and beverages]])</f>
        <v>165.41538461538462</v>
      </c>
      <c r="AE326" s="2">
        <f>AVERAGE(All_India_Index_Upto_April23_CPI_data[[#This Row],[Recreation and amusement]],All_India_Index_Upto_April23_CPI_data[[#This Row],[Pan, tobacco and intoxicants]])</f>
        <v>178.5</v>
      </c>
      <c r="AF326" s="2">
        <f>AVERAGE(All_India_Index_Upto_April23_CPI_data[[#This Row],[Household goods and services]],All_India_Index_Upto_April23_CPI_data[[#This Row],[Housing]])</f>
        <v>82.85</v>
      </c>
      <c r="AG326" s="2">
        <f>AVERAGE(All_India_Index_Upto_April23_CPI_data[[#This Row],[Personal care and effects]],All_India_Index_Upto_April23_CPI_data[[#This Row],[Health]])</f>
        <v>169.9</v>
      </c>
      <c r="AH326" s="2">
        <f>AVERAGE(All_India_Index_Upto_April23_CPI_data[[#This Row],[Clothing]:[Clothing and footwear]])</f>
        <v>172.93333333333331</v>
      </c>
      <c r="AI326" s="2">
        <v>166.7</v>
      </c>
      <c r="AJ326" s="1">
        <f>(All_India_Index_Upto_April23_CPI_data[[#This Row],[General index]]-AI323)/AI323</f>
        <v>1.8028846153845129E-3</v>
      </c>
    </row>
    <row r="327" spans="1:40" x14ac:dyDescent="0.25">
      <c r="A327" t="s">
        <v>32</v>
      </c>
      <c r="B327">
        <v>2022</v>
      </c>
      <c r="C327" t="s">
        <v>34</v>
      </c>
      <c r="D327" s="2">
        <v>152.5</v>
      </c>
      <c r="E327" s="2">
        <v>205.2</v>
      </c>
      <c r="F327" s="2">
        <v>176.4</v>
      </c>
      <c r="G327" s="2">
        <v>160.6</v>
      </c>
      <c r="H327" s="2">
        <v>171.5</v>
      </c>
      <c r="I327" s="2">
        <v>156.4</v>
      </c>
      <c r="J327" s="2">
        <v>198</v>
      </c>
      <c r="K327" s="2">
        <v>163.19999999999999</v>
      </c>
      <c r="L327" s="2">
        <v>120.6</v>
      </c>
      <c r="M327" s="2">
        <v>172.2</v>
      </c>
      <c r="N327" s="2">
        <v>156.69999999999999</v>
      </c>
      <c r="O327" s="2">
        <v>180</v>
      </c>
      <c r="P327" s="2">
        <v>170.2</v>
      </c>
      <c r="Q327" s="2">
        <v>196.5</v>
      </c>
      <c r="R327" s="2">
        <v>165.7</v>
      </c>
      <c r="S327" s="2">
        <v>150.4</v>
      </c>
      <c r="T327" s="2">
        <v>163.4</v>
      </c>
      <c r="U327" s="2">
        <v>165.5</v>
      </c>
      <c r="V327" s="2">
        <v>163</v>
      </c>
      <c r="W327" s="2">
        <v>157.4</v>
      </c>
      <c r="X327" s="2">
        <v>167.2</v>
      </c>
      <c r="Y327" s="2">
        <v>153.1</v>
      </c>
      <c r="Z327" s="2">
        <v>159.5</v>
      </c>
      <c r="AA327" s="2">
        <v>162</v>
      </c>
      <c r="AB327" s="2">
        <v>164.2</v>
      </c>
      <c r="AC327" s="2">
        <v>159.4</v>
      </c>
      <c r="AD327" s="2">
        <f>AVERAGE(All_India_Index_Upto_April23_CPI_data[[#This Row],[Cereals and products]:[Food and beverages]])</f>
        <v>167.96153846153845</v>
      </c>
      <c r="AE327" s="2">
        <f>AVERAGE(All_India_Index_Upto_April23_CPI_data[[#This Row],[Recreation and amusement]],All_India_Index_Upto_April23_CPI_data[[#This Row],[Pan, tobacco and intoxicants]])</f>
        <v>178</v>
      </c>
      <c r="AF327" s="2">
        <f>AVERAGE(All_India_Index_Upto_April23_CPI_data[[#This Row],[Household goods and services]],All_India_Index_Upto_April23_CPI_data[[#This Row],[Housing]])</f>
        <v>161.44999999999999</v>
      </c>
      <c r="AG327" s="2">
        <f>AVERAGE(All_India_Index_Upto_April23_CPI_data[[#This Row],[Personal care and effects]],All_India_Index_Upto_April23_CPI_data[[#This Row],[Health]])</f>
        <v>165.7</v>
      </c>
      <c r="AH327" s="2">
        <f>AVERAGE(All_India_Index_Upto_April23_CPI_data[[#This Row],[Clothing]:[Clothing and footwear]])</f>
        <v>159.83333333333334</v>
      </c>
      <c r="AI327" s="2">
        <v>165.5</v>
      </c>
      <c r="AJ327" s="1">
        <f>(All_India_Index_Upto_April23_CPI_data[[#This Row],[General index]]-AI324)/AI324</f>
        <v>3.0303030303030303E-3</v>
      </c>
    </row>
    <row r="328" spans="1:40" x14ac:dyDescent="0.25">
      <c r="A328" t="s">
        <v>33</v>
      </c>
      <c r="B328">
        <v>2022</v>
      </c>
      <c r="C328" t="s">
        <v>34</v>
      </c>
      <c r="D328" s="2">
        <v>150</v>
      </c>
      <c r="E328" s="2">
        <v>200.6</v>
      </c>
      <c r="F328" s="2">
        <v>175.8</v>
      </c>
      <c r="G328" s="2">
        <v>160.69999999999999</v>
      </c>
      <c r="H328" s="2">
        <v>184.9</v>
      </c>
      <c r="I328" s="2">
        <v>153.69999999999999</v>
      </c>
      <c r="J328" s="2">
        <v>169.7</v>
      </c>
      <c r="K328" s="2">
        <v>163.69999999999999</v>
      </c>
      <c r="L328" s="2">
        <v>118.9</v>
      </c>
      <c r="M328" s="2">
        <v>174.3</v>
      </c>
      <c r="N328" s="2">
        <v>164.7</v>
      </c>
      <c r="O328" s="2">
        <v>178</v>
      </c>
      <c r="P328" s="2">
        <v>166.2</v>
      </c>
      <c r="Q328" s="2">
        <v>192.8</v>
      </c>
      <c r="R328" s="2">
        <v>170.8</v>
      </c>
      <c r="S328" s="2">
        <v>162.4</v>
      </c>
      <c r="T328" s="2">
        <v>169.6</v>
      </c>
      <c r="U328" s="2">
        <v>165.5</v>
      </c>
      <c r="V328" s="2">
        <v>165.7</v>
      </c>
      <c r="W328" s="2">
        <v>161.80000000000001</v>
      </c>
      <c r="X328" s="2">
        <v>172.2</v>
      </c>
      <c r="Y328" s="2">
        <v>156.9</v>
      </c>
      <c r="Z328" s="2">
        <v>162.1</v>
      </c>
      <c r="AA328" s="2">
        <v>165.4</v>
      </c>
      <c r="AB328" s="2">
        <v>164.4</v>
      </c>
      <c r="AC328" s="2">
        <v>163.5</v>
      </c>
      <c r="AD328" s="2">
        <f>AVERAGE(All_India_Index_Upto_April23_CPI_data[[#This Row],[Cereals and products]:[Food and beverages]])</f>
        <v>166.24615384615387</v>
      </c>
      <c r="AE328" s="2">
        <f>AVERAGE(All_India_Index_Upto_April23_CPI_data[[#This Row],[Recreation and amusement]],All_India_Index_Upto_April23_CPI_data[[#This Row],[Pan, tobacco and intoxicants]])</f>
        <v>177.45</v>
      </c>
      <c r="AF328" s="2">
        <f>AVERAGE(All_India_Index_Upto_April23_CPI_data[[#This Row],[Household goods and services]],All_India_Index_Upto_April23_CPI_data[[#This Row],[Housing]])</f>
        <v>163.65</v>
      </c>
      <c r="AG328" s="2">
        <f>AVERAGE(All_India_Index_Upto_April23_CPI_data[[#This Row],[Personal care and effects]],All_India_Index_Upto_April23_CPI_data[[#This Row],[Health]])</f>
        <v>168.3</v>
      </c>
      <c r="AH328" s="2">
        <f>AVERAGE(All_India_Index_Upto_April23_CPI_data[[#This Row],[Clothing]:[Clothing and footwear]])</f>
        <v>167.60000000000002</v>
      </c>
      <c r="AI328" s="2">
        <v>166.1</v>
      </c>
      <c r="AJ328" s="1">
        <f>(All_India_Index_Upto_April23_CPI_data[[#This Row],[General index]]-AI325)/AI325</f>
        <v>2.4140012070006378E-3</v>
      </c>
    </row>
    <row r="329" spans="1:40" x14ac:dyDescent="0.25">
      <c r="A329" t="s">
        <v>30</v>
      </c>
      <c r="B329">
        <v>2022</v>
      </c>
      <c r="C329" t="s">
        <v>35</v>
      </c>
      <c r="D329" s="2">
        <v>150.19999999999999</v>
      </c>
      <c r="E329" s="2">
        <v>208</v>
      </c>
      <c r="F329" s="2">
        <v>167.9</v>
      </c>
      <c r="G329" s="2">
        <v>162</v>
      </c>
      <c r="H329" s="2">
        <v>203.1</v>
      </c>
      <c r="I329" s="2">
        <v>155.9</v>
      </c>
      <c r="J329" s="2">
        <v>155.80000000000001</v>
      </c>
      <c r="K329" s="2">
        <v>164.2</v>
      </c>
      <c r="L329" s="2">
        <v>118.1</v>
      </c>
      <c r="M329" s="2">
        <v>178.7</v>
      </c>
      <c r="N329" s="2">
        <v>171.2</v>
      </c>
      <c r="O329" s="2">
        <v>177.4</v>
      </c>
      <c r="P329" s="2">
        <v>166.6</v>
      </c>
      <c r="Q329" s="2">
        <v>192.3</v>
      </c>
      <c r="R329" s="2">
        <v>175.4</v>
      </c>
      <c r="S329" s="2">
        <v>173.2</v>
      </c>
      <c r="T329" s="2">
        <v>175.1</v>
      </c>
      <c r="U329" s="2">
        <v>0</v>
      </c>
      <c r="V329" s="2">
        <v>168.9</v>
      </c>
      <c r="W329" s="2">
        <v>166.5</v>
      </c>
      <c r="X329" s="2">
        <v>176</v>
      </c>
      <c r="Y329" s="2">
        <v>162</v>
      </c>
      <c r="Z329" s="2">
        <v>166.6</v>
      </c>
      <c r="AA329" s="2">
        <v>170.6</v>
      </c>
      <c r="AB329" s="2">
        <v>167.4</v>
      </c>
      <c r="AC329" s="2">
        <v>168.3</v>
      </c>
      <c r="AD329" s="2">
        <f>AVERAGE(All_India_Index_Upto_April23_CPI_data[[#This Row],[Cereals and products]:[Food and beverages]])</f>
        <v>167.62307692307695</v>
      </c>
      <c r="AE329" s="2">
        <f>AVERAGE(All_India_Index_Upto_April23_CPI_data[[#This Row],[Recreation and amusement]],All_India_Index_Upto_April23_CPI_data[[#This Row],[Pan, tobacco and intoxicants]])</f>
        <v>179.45</v>
      </c>
      <c r="AF329" s="2">
        <f>AVERAGE(All_India_Index_Upto_April23_CPI_data[[#This Row],[Household goods and services]],All_India_Index_Upto_April23_CPI_data[[#This Row],[Housing]])</f>
        <v>83.25</v>
      </c>
      <c r="AG329" s="2">
        <f>AVERAGE(All_India_Index_Upto_April23_CPI_data[[#This Row],[Personal care and effects]],All_India_Index_Upto_April23_CPI_data[[#This Row],[Health]])</f>
        <v>171.7</v>
      </c>
      <c r="AH329" s="2">
        <f>AVERAGE(All_India_Index_Upto_April23_CPI_data[[#This Row],[Clothing]:[Clothing and footwear]])</f>
        <v>174.56666666666669</v>
      </c>
      <c r="AI329" s="2">
        <v>168.7</v>
      </c>
      <c r="AJ329" s="1">
        <f>(All_India_Index_Upto_April23_CPI_data[[#This Row],[General index]]-AI326)/AI326</f>
        <v>1.199760047990402E-2</v>
      </c>
    </row>
    <row r="330" spans="1:40" x14ac:dyDescent="0.25">
      <c r="A330" t="s">
        <v>32</v>
      </c>
      <c r="B330">
        <v>2022</v>
      </c>
      <c r="C330" t="s">
        <v>35</v>
      </c>
      <c r="D330" s="2">
        <v>153.69999999999999</v>
      </c>
      <c r="E330" s="2">
        <v>215.8</v>
      </c>
      <c r="F330" s="2">
        <v>167.7</v>
      </c>
      <c r="G330" s="2">
        <v>162.6</v>
      </c>
      <c r="H330" s="2">
        <v>180</v>
      </c>
      <c r="I330" s="2">
        <v>159.6</v>
      </c>
      <c r="J330" s="2">
        <v>188.4</v>
      </c>
      <c r="K330" s="2">
        <v>163.4</v>
      </c>
      <c r="L330" s="2">
        <v>120.3</v>
      </c>
      <c r="M330" s="2">
        <v>174.7</v>
      </c>
      <c r="N330" s="2">
        <v>157.1</v>
      </c>
      <c r="O330" s="2">
        <v>181.5</v>
      </c>
      <c r="P330" s="2">
        <v>171.5</v>
      </c>
      <c r="Q330" s="2">
        <v>197.5</v>
      </c>
      <c r="R330" s="2">
        <v>167.1</v>
      </c>
      <c r="S330" s="2">
        <v>152.6</v>
      </c>
      <c r="T330" s="2">
        <v>164.9</v>
      </c>
      <c r="U330" s="2">
        <v>165.3</v>
      </c>
      <c r="V330" s="2">
        <v>164.5</v>
      </c>
      <c r="W330" s="2">
        <v>158.6</v>
      </c>
      <c r="X330" s="2">
        <v>168.2</v>
      </c>
      <c r="Y330" s="2">
        <v>154.19999999999999</v>
      </c>
      <c r="Z330" s="2">
        <v>160.80000000000001</v>
      </c>
      <c r="AA330" s="2">
        <v>162.69999999999999</v>
      </c>
      <c r="AB330" s="2">
        <v>166.8</v>
      </c>
      <c r="AC330" s="2">
        <v>160.6</v>
      </c>
      <c r="AD330" s="2">
        <f>AVERAGE(All_India_Index_Upto_April23_CPI_data[[#This Row],[Cereals and products]:[Food and beverages]])</f>
        <v>168.94615384615386</v>
      </c>
      <c r="AE330" s="2">
        <f>AVERAGE(All_India_Index_Upto_April23_CPI_data[[#This Row],[Recreation and amusement]],All_India_Index_Upto_April23_CPI_data[[#This Row],[Pan, tobacco and intoxicants]])</f>
        <v>179.15</v>
      </c>
      <c r="AF330" s="2">
        <f>AVERAGE(All_India_Index_Upto_April23_CPI_data[[#This Row],[Household goods and services]],All_India_Index_Upto_April23_CPI_data[[#This Row],[Housing]])</f>
        <v>161.94999999999999</v>
      </c>
      <c r="AG330" s="2">
        <f>AVERAGE(All_India_Index_Upto_April23_CPI_data[[#This Row],[Personal care and effects]],All_India_Index_Upto_April23_CPI_data[[#This Row],[Health]])</f>
        <v>167.5</v>
      </c>
      <c r="AH330" s="2">
        <f>AVERAGE(All_India_Index_Upto_April23_CPI_data[[#This Row],[Clothing]:[Clothing and footwear]])</f>
        <v>161.53333333333333</v>
      </c>
      <c r="AI330" s="2">
        <v>166.5</v>
      </c>
      <c r="AJ330" s="1">
        <f>(All_India_Index_Upto_April23_CPI_data[[#This Row],[General index]]-AI327)/AI327</f>
        <v>6.0422960725075529E-3</v>
      </c>
    </row>
    <row r="331" spans="1:40" x14ac:dyDescent="0.25">
      <c r="A331" t="s">
        <v>33</v>
      </c>
      <c r="B331">
        <v>2022</v>
      </c>
      <c r="C331" t="s">
        <v>35</v>
      </c>
      <c r="D331" s="2">
        <v>151.30000000000001</v>
      </c>
      <c r="E331" s="2">
        <v>210.7</v>
      </c>
      <c r="F331" s="2">
        <v>167.8</v>
      </c>
      <c r="G331" s="2">
        <v>162.19999999999999</v>
      </c>
      <c r="H331" s="2">
        <v>194.6</v>
      </c>
      <c r="I331" s="2">
        <v>157.6</v>
      </c>
      <c r="J331" s="2">
        <v>166.9</v>
      </c>
      <c r="K331" s="2">
        <v>163.9</v>
      </c>
      <c r="L331" s="2">
        <v>118.8</v>
      </c>
      <c r="M331" s="2">
        <v>177.4</v>
      </c>
      <c r="N331" s="2">
        <v>165.3</v>
      </c>
      <c r="O331" s="2">
        <v>179.3</v>
      </c>
      <c r="P331" s="2">
        <v>168.4</v>
      </c>
      <c r="Q331" s="2">
        <v>193.7</v>
      </c>
      <c r="R331" s="2">
        <v>172.1</v>
      </c>
      <c r="S331" s="2">
        <v>164.6</v>
      </c>
      <c r="T331" s="2">
        <v>171.1</v>
      </c>
      <c r="U331" s="2">
        <v>165.3</v>
      </c>
      <c r="V331" s="2">
        <v>167.2</v>
      </c>
      <c r="W331" s="2">
        <v>162.80000000000001</v>
      </c>
      <c r="X331" s="2">
        <v>173</v>
      </c>
      <c r="Y331" s="2">
        <v>157.9</v>
      </c>
      <c r="Z331" s="2">
        <v>163.30000000000001</v>
      </c>
      <c r="AA331" s="2">
        <v>166</v>
      </c>
      <c r="AB331" s="2">
        <v>167.2</v>
      </c>
      <c r="AC331" s="2">
        <v>164.6</v>
      </c>
      <c r="AD331" s="2">
        <f>AVERAGE(All_India_Index_Upto_April23_CPI_data[[#This Row],[Cereals and products]:[Food and beverages]])</f>
        <v>168.01538461538465</v>
      </c>
      <c r="AE331" s="2">
        <f>AVERAGE(All_India_Index_Upto_April23_CPI_data[[#This Row],[Recreation and amusement]],All_India_Index_Upto_April23_CPI_data[[#This Row],[Pan, tobacco and intoxicants]])</f>
        <v>178.5</v>
      </c>
      <c r="AF331" s="2">
        <f>AVERAGE(All_India_Index_Upto_April23_CPI_data[[#This Row],[Household goods and services]],All_India_Index_Upto_April23_CPI_data[[#This Row],[Housing]])</f>
        <v>164.05</v>
      </c>
      <c r="AG331" s="2">
        <f>AVERAGE(All_India_Index_Upto_April23_CPI_data[[#This Row],[Personal care and effects]],All_India_Index_Upto_April23_CPI_data[[#This Row],[Health]])</f>
        <v>170.1</v>
      </c>
      <c r="AH331" s="2">
        <f>AVERAGE(All_India_Index_Upto_April23_CPI_data[[#This Row],[Clothing]:[Clothing and footwear]])</f>
        <v>169.26666666666665</v>
      </c>
      <c r="AI331" s="2">
        <v>167.7</v>
      </c>
      <c r="AJ331" s="1">
        <f>(All_India_Index_Upto_April23_CPI_data[[#This Row],[General index]]-AI328)/AI328</f>
        <v>9.6327513546056245E-3</v>
      </c>
    </row>
    <row r="332" spans="1:40" x14ac:dyDescent="0.25">
      <c r="A332" t="s">
        <v>30</v>
      </c>
      <c r="B332">
        <v>2022</v>
      </c>
      <c r="C332" t="s">
        <v>36</v>
      </c>
      <c r="D332" s="2">
        <v>151.80000000000001</v>
      </c>
      <c r="E332" s="2">
        <v>209.7</v>
      </c>
      <c r="F332" s="2">
        <v>164.5</v>
      </c>
      <c r="G332" s="2">
        <v>163.80000000000001</v>
      </c>
      <c r="H332" s="2">
        <v>207.4</v>
      </c>
      <c r="I332" s="2">
        <v>169.7</v>
      </c>
      <c r="J332" s="2">
        <v>153.6</v>
      </c>
      <c r="K332" s="2">
        <v>165.1</v>
      </c>
      <c r="L332" s="2">
        <v>118.2</v>
      </c>
      <c r="M332" s="2">
        <v>182.9</v>
      </c>
      <c r="N332" s="2">
        <v>172.4</v>
      </c>
      <c r="O332" s="2">
        <v>178.9</v>
      </c>
      <c r="P332" s="2">
        <v>168.6</v>
      </c>
      <c r="Q332" s="2">
        <v>192.8</v>
      </c>
      <c r="R332" s="2">
        <v>177.5</v>
      </c>
      <c r="S332" s="2">
        <v>175.1</v>
      </c>
      <c r="T332" s="2">
        <v>177.1</v>
      </c>
      <c r="U332" s="2">
        <v>0</v>
      </c>
      <c r="V332" s="2">
        <v>173.3</v>
      </c>
      <c r="W332" s="2">
        <v>167.7</v>
      </c>
      <c r="X332" s="2">
        <v>177</v>
      </c>
      <c r="Y332" s="2">
        <v>166.2</v>
      </c>
      <c r="Z332" s="2">
        <v>167.2</v>
      </c>
      <c r="AA332" s="2">
        <v>170.9</v>
      </c>
      <c r="AB332" s="2">
        <v>169</v>
      </c>
      <c r="AC332" s="2">
        <v>170.2</v>
      </c>
      <c r="AD332" s="2">
        <f>AVERAGE(All_India_Index_Upto_April23_CPI_data[[#This Row],[Cereals and products]:[Food and beverages]])</f>
        <v>169.73846153846154</v>
      </c>
      <c r="AE332" s="2">
        <f>AVERAGE(All_India_Index_Upto_April23_CPI_data[[#This Row],[Recreation and amusement]],All_India_Index_Upto_April23_CPI_data[[#This Row],[Pan, tobacco and intoxicants]])</f>
        <v>180</v>
      </c>
      <c r="AF332" s="2">
        <f>AVERAGE(All_India_Index_Upto_April23_CPI_data[[#This Row],[Household goods and services]],All_India_Index_Upto_April23_CPI_data[[#This Row],[Housing]])</f>
        <v>83.85</v>
      </c>
      <c r="AG332" s="2">
        <f>AVERAGE(All_India_Index_Upto_April23_CPI_data[[#This Row],[Personal care and effects]],All_India_Index_Upto_April23_CPI_data[[#This Row],[Health]])</f>
        <v>173</v>
      </c>
      <c r="AH332" s="2">
        <f>AVERAGE(All_India_Index_Upto_April23_CPI_data[[#This Row],[Clothing]:[Clothing and footwear]])</f>
        <v>176.56666666666669</v>
      </c>
      <c r="AI332" s="2">
        <v>170.8</v>
      </c>
      <c r="AJ332" s="1">
        <f>(All_India_Index_Upto_April23_CPI_data[[#This Row],[General index]]-AI329)/AI329</f>
        <v>1.2448132780083124E-2</v>
      </c>
    </row>
    <row r="333" spans="1:40" x14ac:dyDescent="0.25">
      <c r="A333" t="s">
        <v>32</v>
      </c>
      <c r="B333">
        <v>2022</v>
      </c>
      <c r="C333" t="s">
        <v>36</v>
      </c>
      <c r="D333" s="2">
        <v>155.4</v>
      </c>
      <c r="E333" s="2">
        <v>215.8</v>
      </c>
      <c r="F333" s="2">
        <v>164.6</v>
      </c>
      <c r="G333" s="2">
        <v>164.2</v>
      </c>
      <c r="H333" s="2">
        <v>186</v>
      </c>
      <c r="I333" s="2">
        <v>175.9</v>
      </c>
      <c r="J333" s="2">
        <v>190.7</v>
      </c>
      <c r="K333" s="2">
        <v>164</v>
      </c>
      <c r="L333" s="2">
        <v>120.5</v>
      </c>
      <c r="M333" s="2">
        <v>178</v>
      </c>
      <c r="N333" s="2">
        <v>157.5</v>
      </c>
      <c r="O333" s="2">
        <v>183.3</v>
      </c>
      <c r="P333" s="2">
        <v>174.5</v>
      </c>
      <c r="Q333" s="2">
        <v>197.1</v>
      </c>
      <c r="R333" s="2">
        <v>168.4</v>
      </c>
      <c r="S333" s="2">
        <v>154.5</v>
      </c>
      <c r="T333" s="2">
        <v>166.3</v>
      </c>
      <c r="U333" s="2">
        <v>167</v>
      </c>
      <c r="V333" s="2">
        <v>170.5</v>
      </c>
      <c r="W333" s="2">
        <v>159.80000000000001</v>
      </c>
      <c r="X333" s="2">
        <v>169</v>
      </c>
      <c r="Y333" s="2">
        <v>159.30000000000001</v>
      </c>
      <c r="Z333" s="2">
        <v>162.19999999999999</v>
      </c>
      <c r="AA333" s="2">
        <v>164</v>
      </c>
      <c r="AB333" s="2">
        <v>168.4</v>
      </c>
      <c r="AC333" s="2">
        <v>163.1</v>
      </c>
      <c r="AD333" s="2">
        <f>AVERAGE(All_India_Index_Upto_April23_CPI_data[[#This Row],[Cereals and products]:[Food and beverages]])</f>
        <v>171.56923076923078</v>
      </c>
      <c r="AE333" s="2">
        <f>AVERAGE(All_India_Index_Upto_April23_CPI_data[[#This Row],[Recreation and amusement]],All_India_Index_Upto_April23_CPI_data[[#This Row],[Pan, tobacco and intoxicants]])</f>
        <v>179.64999999999998</v>
      </c>
      <c r="AF333" s="2">
        <f>AVERAGE(All_India_Index_Upto_April23_CPI_data[[#This Row],[Household goods and services]],All_India_Index_Upto_April23_CPI_data[[#This Row],[Housing]])</f>
        <v>163.4</v>
      </c>
      <c r="AG333" s="2">
        <f>AVERAGE(All_India_Index_Upto_April23_CPI_data[[#This Row],[Personal care and effects]],All_India_Index_Upto_April23_CPI_data[[#This Row],[Health]])</f>
        <v>168.7</v>
      </c>
      <c r="AH333" s="2">
        <f>AVERAGE(All_India_Index_Upto_April23_CPI_data[[#This Row],[Clothing]:[Clothing and footwear]])</f>
        <v>163.06666666666666</v>
      </c>
      <c r="AI333" s="2">
        <v>169.2</v>
      </c>
      <c r="AJ333" s="1">
        <f>(All_India_Index_Upto_April23_CPI_data[[#This Row],[General index]]-AI330)/AI330</f>
        <v>1.6216216216216148E-2</v>
      </c>
    </row>
    <row r="334" spans="1:40" x14ac:dyDescent="0.25">
      <c r="A334" t="s">
        <v>33</v>
      </c>
      <c r="B334">
        <v>2022</v>
      </c>
      <c r="C334" t="s">
        <v>36</v>
      </c>
      <c r="D334" s="2">
        <v>152.9</v>
      </c>
      <c r="E334" s="2">
        <v>211.8</v>
      </c>
      <c r="F334" s="2">
        <v>164.5</v>
      </c>
      <c r="G334" s="2">
        <v>163.9</v>
      </c>
      <c r="H334" s="2">
        <v>199.5</v>
      </c>
      <c r="I334" s="2">
        <v>172.6</v>
      </c>
      <c r="J334" s="2">
        <v>166.2</v>
      </c>
      <c r="K334" s="2">
        <v>164.7</v>
      </c>
      <c r="L334" s="2">
        <v>119</v>
      </c>
      <c r="M334" s="2">
        <v>181.3</v>
      </c>
      <c r="N334" s="2">
        <v>166.2</v>
      </c>
      <c r="O334" s="2">
        <v>180.9</v>
      </c>
      <c r="P334" s="2">
        <v>170.8</v>
      </c>
      <c r="Q334" s="2">
        <v>193.9</v>
      </c>
      <c r="R334" s="2">
        <v>173.9</v>
      </c>
      <c r="S334" s="2">
        <v>166.5</v>
      </c>
      <c r="T334" s="2">
        <v>172.8</v>
      </c>
      <c r="U334" s="2">
        <v>167</v>
      </c>
      <c r="V334" s="2">
        <v>172.2</v>
      </c>
      <c r="W334" s="2">
        <v>164</v>
      </c>
      <c r="X334" s="2">
        <v>174</v>
      </c>
      <c r="Y334" s="2">
        <v>162.6</v>
      </c>
      <c r="Z334" s="2">
        <v>164.4</v>
      </c>
      <c r="AA334" s="2">
        <v>166.9</v>
      </c>
      <c r="AB334" s="2">
        <v>168.8</v>
      </c>
      <c r="AC334" s="2">
        <v>166.8</v>
      </c>
      <c r="AD334" s="2">
        <f>AVERAGE(All_India_Index_Upto_April23_CPI_data[[#This Row],[Cereals and products]:[Food and beverages]])</f>
        <v>170.33076923076925</v>
      </c>
      <c r="AE334" s="2">
        <f>AVERAGE(All_India_Index_Upto_April23_CPI_data[[#This Row],[Recreation and amusement]],All_India_Index_Upto_April23_CPI_data[[#This Row],[Pan, tobacco and intoxicants]])</f>
        <v>179.15</v>
      </c>
      <c r="AF334" s="2">
        <f>AVERAGE(All_India_Index_Upto_April23_CPI_data[[#This Row],[Household goods and services]],All_India_Index_Upto_April23_CPI_data[[#This Row],[Housing]])</f>
        <v>165.5</v>
      </c>
      <c r="AG334" s="2">
        <f>AVERAGE(All_India_Index_Upto_April23_CPI_data[[#This Row],[Personal care and effects]],All_India_Index_Upto_April23_CPI_data[[#This Row],[Health]])</f>
        <v>171.4</v>
      </c>
      <c r="AH334" s="2">
        <f>AVERAGE(All_India_Index_Upto_April23_CPI_data[[#This Row],[Clothing]:[Clothing and footwear]])</f>
        <v>171.06666666666669</v>
      </c>
      <c r="AI334" s="2">
        <v>170.1</v>
      </c>
      <c r="AJ334" s="1">
        <f>(All_India_Index_Upto_April23_CPI_data[[#This Row],[General index]]-AI331)/AI331</f>
        <v>1.4311270125223648E-2</v>
      </c>
    </row>
    <row r="335" spans="1:40" x14ac:dyDescent="0.25">
      <c r="A335" t="s">
        <v>30</v>
      </c>
      <c r="B335">
        <v>2022</v>
      </c>
      <c r="C335" t="s">
        <v>37</v>
      </c>
      <c r="D335" s="2">
        <v>152.9</v>
      </c>
      <c r="E335" s="2">
        <v>214.7</v>
      </c>
      <c r="F335" s="2">
        <v>161.4</v>
      </c>
      <c r="G335" s="2">
        <v>164.6</v>
      </c>
      <c r="H335" s="2">
        <v>209.9</v>
      </c>
      <c r="I335" s="2">
        <v>168</v>
      </c>
      <c r="J335" s="2">
        <v>160.4</v>
      </c>
      <c r="K335" s="2">
        <v>165</v>
      </c>
      <c r="L335" s="2">
        <v>118.9</v>
      </c>
      <c r="M335" s="2">
        <v>186.6</v>
      </c>
      <c r="N335" s="2">
        <v>173.2</v>
      </c>
      <c r="O335" s="2">
        <v>180.4</v>
      </c>
      <c r="P335" s="2">
        <v>170.8</v>
      </c>
      <c r="Q335" s="2">
        <v>192.9</v>
      </c>
      <c r="R335" s="2">
        <v>179.3</v>
      </c>
      <c r="S335" s="2">
        <v>177.2</v>
      </c>
      <c r="T335" s="2">
        <v>179</v>
      </c>
      <c r="U335" s="2">
        <v>0</v>
      </c>
      <c r="V335" s="2">
        <v>175.3</v>
      </c>
      <c r="W335" s="2">
        <v>168.9</v>
      </c>
      <c r="X335" s="2">
        <v>177.7</v>
      </c>
      <c r="Y335" s="2">
        <v>167.1</v>
      </c>
      <c r="Z335" s="2">
        <v>167.6</v>
      </c>
      <c r="AA335" s="2">
        <v>171.8</v>
      </c>
      <c r="AB335" s="2">
        <v>168.5</v>
      </c>
      <c r="AC335" s="2">
        <v>170.9</v>
      </c>
      <c r="AD335" s="2">
        <f>AVERAGE(All_India_Index_Upto_April23_CPI_data[[#This Row],[Cereals and products]:[Food and beverages]])</f>
        <v>171.2923076923077</v>
      </c>
      <c r="AE335" s="2">
        <f>AVERAGE(All_India_Index_Upto_April23_CPI_data[[#This Row],[Recreation and amusement]],All_India_Index_Upto_April23_CPI_data[[#This Row],[Pan, tobacco and intoxicants]])</f>
        <v>180.25</v>
      </c>
      <c r="AF335" s="2">
        <f>AVERAGE(All_India_Index_Upto_April23_CPI_data[[#This Row],[Household goods and services]],All_India_Index_Upto_April23_CPI_data[[#This Row],[Housing]])</f>
        <v>84.45</v>
      </c>
      <c r="AG335" s="2">
        <f>AVERAGE(All_India_Index_Upto_April23_CPI_data[[#This Row],[Personal care and effects]],All_India_Index_Upto_April23_CPI_data[[#This Row],[Health]])</f>
        <v>173.1</v>
      </c>
      <c r="AH335" s="2">
        <f>AVERAGE(All_India_Index_Upto_April23_CPI_data[[#This Row],[Clothing]:[Clothing and footwear]])</f>
        <v>178.5</v>
      </c>
      <c r="AI335" s="2">
        <v>172.5</v>
      </c>
      <c r="AJ335" s="1">
        <f>(All_India_Index_Upto_April23_CPI_data[[#This Row],[General index]]-AI332)/AI332</f>
        <v>9.9531615925057878E-3</v>
      </c>
    </row>
    <row r="336" spans="1:40" x14ac:dyDescent="0.25">
      <c r="A336" t="s">
        <v>32</v>
      </c>
      <c r="B336">
        <v>2022</v>
      </c>
      <c r="C336" t="s">
        <v>37</v>
      </c>
      <c r="D336" s="2">
        <v>156.69999999999999</v>
      </c>
      <c r="E336" s="2">
        <v>221.2</v>
      </c>
      <c r="F336" s="2">
        <v>164.1</v>
      </c>
      <c r="G336" s="2">
        <v>165.4</v>
      </c>
      <c r="H336" s="2">
        <v>189.5</v>
      </c>
      <c r="I336" s="2">
        <v>174.5</v>
      </c>
      <c r="J336" s="2">
        <v>203.2</v>
      </c>
      <c r="K336" s="2">
        <v>164.1</v>
      </c>
      <c r="L336" s="2">
        <v>121.2</v>
      </c>
      <c r="M336" s="2">
        <v>181.4</v>
      </c>
      <c r="N336" s="2">
        <v>158.5</v>
      </c>
      <c r="O336" s="2">
        <v>184.9</v>
      </c>
      <c r="P336" s="2">
        <v>177.5</v>
      </c>
      <c r="Q336" s="2">
        <v>197.5</v>
      </c>
      <c r="R336" s="2">
        <v>170</v>
      </c>
      <c r="S336" s="2">
        <v>155.9</v>
      </c>
      <c r="T336" s="2">
        <v>167.8</v>
      </c>
      <c r="U336" s="2">
        <v>167.5</v>
      </c>
      <c r="V336" s="2">
        <v>173.5</v>
      </c>
      <c r="W336" s="2">
        <v>161.1</v>
      </c>
      <c r="X336" s="2">
        <v>170.1</v>
      </c>
      <c r="Y336" s="2">
        <v>159.4</v>
      </c>
      <c r="Z336" s="2">
        <v>163.19999999999999</v>
      </c>
      <c r="AA336" s="2">
        <v>165.2</v>
      </c>
      <c r="AB336" s="2">
        <v>168.2</v>
      </c>
      <c r="AC336" s="2">
        <v>163.80000000000001</v>
      </c>
      <c r="AD336" s="2">
        <f>AVERAGE(All_India_Index_Upto_April23_CPI_data[[#This Row],[Cereals and products]:[Food and beverages]])</f>
        <v>174.01538461538465</v>
      </c>
      <c r="AE336" s="2">
        <f>AVERAGE(All_India_Index_Upto_April23_CPI_data[[#This Row],[Recreation and amusement]],All_India_Index_Upto_April23_CPI_data[[#This Row],[Pan, tobacco and intoxicants]])</f>
        <v>180.35</v>
      </c>
      <c r="AF336" s="2">
        <f>AVERAGE(All_India_Index_Upto_April23_CPI_data[[#This Row],[Household goods and services]],All_India_Index_Upto_April23_CPI_data[[#This Row],[Housing]])</f>
        <v>164.3</v>
      </c>
      <c r="AG336" s="2">
        <f>AVERAGE(All_India_Index_Upto_April23_CPI_data[[#This Row],[Personal care and effects]],All_India_Index_Upto_April23_CPI_data[[#This Row],[Health]])</f>
        <v>169.14999999999998</v>
      </c>
      <c r="AH336" s="2">
        <f>AVERAGE(All_India_Index_Upto_April23_CPI_data[[#This Row],[Clothing]:[Clothing and footwear]])</f>
        <v>164.56666666666666</v>
      </c>
      <c r="AI336" s="2">
        <v>170.8</v>
      </c>
      <c r="AJ336" s="1">
        <f>(All_India_Index_Upto_April23_CPI_data[[#This Row],[General index]]-AI333)/AI333</f>
        <v>9.4562647754138467E-3</v>
      </c>
    </row>
    <row r="337" spans="1:36" x14ac:dyDescent="0.25">
      <c r="A337" t="s">
        <v>33</v>
      </c>
      <c r="B337">
        <v>2022</v>
      </c>
      <c r="C337" t="s">
        <v>37</v>
      </c>
      <c r="D337" s="2">
        <v>154.1</v>
      </c>
      <c r="E337" s="2">
        <v>217</v>
      </c>
      <c r="F337" s="2">
        <v>162.4</v>
      </c>
      <c r="G337" s="2">
        <v>164.9</v>
      </c>
      <c r="H337" s="2">
        <v>202.4</v>
      </c>
      <c r="I337" s="2">
        <v>171</v>
      </c>
      <c r="J337" s="2">
        <v>174.9</v>
      </c>
      <c r="K337" s="2">
        <v>164.7</v>
      </c>
      <c r="L337" s="2">
        <v>119.7</v>
      </c>
      <c r="M337" s="2">
        <v>184.9</v>
      </c>
      <c r="N337" s="2">
        <v>167.1</v>
      </c>
      <c r="O337" s="2">
        <v>182.5</v>
      </c>
      <c r="P337" s="2">
        <v>173.3</v>
      </c>
      <c r="Q337" s="2">
        <v>194.1</v>
      </c>
      <c r="R337" s="2">
        <v>175.6</v>
      </c>
      <c r="S337" s="2">
        <v>168.4</v>
      </c>
      <c r="T337" s="2">
        <v>174.6</v>
      </c>
      <c r="U337" s="2">
        <v>167.5</v>
      </c>
      <c r="V337" s="2">
        <v>174.6</v>
      </c>
      <c r="W337" s="2">
        <v>165.2</v>
      </c>
      <c r="X337" s="2">
        <v>174.8</v>
      </c>
      <c r="Y337" s="2">
        <v>163</v>
      </c>
      <c r="Z337" s="2">
        <v>165.1</v>
      </c>
      <c r="AA337" s="2">
        <v>167.9</v>
      </c>
      <c r="AB337" s="2">
        <v>168.4</v>
      </c>
      <c r="AC337" s="2">
        <v>167.5</v>
      </c>
      <c r="AD337" s="2">
        <f>AVERAGE(All_India_Index_Upto_April23_CPI_data[[#This Row],[Cereals and products]:[Food and beverages]])</f>
        <v>172.22307692307697</v>
      </c>
      <c r="AE337" s="2">
        <f>AVERAGE(All_India_Index_Upto_April23_CPI_data[[#This Row],[Recreation and amusement]],All_India_Index_Upto_April23_CPI_data[[#This Row],[Pan, tobacco and intoxicants]])</f>
        <v>179.6</v>
      </c>
      <c r="AF337" s="2">
        <f>AVERAGE(All_India_Index_Upto_April23_CPI_data[[#This Row],[Household goods and services]],All_India_Index_Upto_April23_CPI_data[[#This Row],[Housing]])</f>
        <v>166.35</v>
      </c>
      <c r="AG337" s="2">
        <f>AVERAGE(All_India_Index_Upto_April23_CPI_data[[#This Row],[Personal care and effects]],All_India_Index_Upto_April23_CPI_data[[#This Row],[Health]])</f>
        <v>171.60000000000002</v>
      </c>
      <c r="AH337" s="2">
        <f>AVERAGE(All_India_Index_Upto_April23_CPI_data[[#This Row],[Clothing]:[Clothing and footwear]])</f>
        <v>172.86666666666667</v>
      </c>
      <c r="AI337" s="2">
        <v>171.7</v>
      </c>
      <c r="AJ337" s="1">
        <f>(All_India_Index_Upto_April23_CPI_data[[#This Row],[General index]]-AI334)/AI334</f>
        <v>9.4062316284538178E-3</v>
      </c>
    </row>
    <row r="338" spans="1:36" x14ac:dyDescent="0.25">
      <c r="A338" t="s">
        <v>30</v>
      </c>
      <c r="B338">
        <v>2022</v>
      </c>
      <c r="C338" t="s">
        <v>38</v>
      </c>
      <c r="D338" s="2">
        <v>153.80000000000001</v>
      </c>
      <c r="E338" s="2">
        <v>217.2</v>
      </c>
      <c r="F338" s="2">
        <v>169.6</v>
      </c>
      <c r="G338" s="2">
        <v>165.4</v>
      </c>
      <c r="H338" s="2">
        <v>208.1</v>
      </c>
      <c r="I338" s="2">
        <v>165.8</v>
      </c>
      <c r="J338" s="2">
        <v>167.3</v>
      </c>
      <c r="K338" s="2">
        <v>164.6</v>
      </c>
      <c r="L338" s="2">
        <v>119.1</v>
      </c>
      <c r="M338" s="2">
        <v>188.9</v>
      </c>
      <c r="N338" s="2">
        <v>174.2</v>
      </c>
      <c r="O338" s="2">
        <v>181.9</v>
      </c>
      <c r="P338" s="2">
        <v>172.4</v>
      </c>
      <c r="Q338" s="2">
        <v>192.9</v>
      </c>
      <c r="R338" s="2">
        <v>180.7</v>
      </c>
      <c r="S338" s="2">
        <v>178.7</v>
      </c>
      <c r="T338" s="2">
        <v>180.4</v>
      </c>
      <c r="U338" s="2">
        <v>0</v>
      </c>
      <c r="V338" s="2">
        <v>176.7</v>
      </c>
      <c r="W338" s="2">
        <v>170.3</v>
      </c>
      <c r="X338" s="2">
        <v>178.2</v>
      </c>
      <c r="Y338" s="2">
        <v>165.5</v>
      </c>
      <c r="Z338" s="2">
        <v>168</v>
      </c>
      <c r="AA338" s="2">
        <v>172.6</v>
      </c>
      <c r="AB338" s="2">
        <v>169.5</v>
      </c>
      <c r="AC338" s="2">
        <v>171</v>
      </c>
      <c r="AD338" s="2">
        <f>AVERAGE(All_India_Index_Upto_April23_CPI_data[[#This Row],[Cereals and products]:[Food and beverages]])</f>
        <v>172.94615384615386</v>
      </c>
      <c r="AE338" s="2">
        <f>AVERAGE(All_India_Index_Upto_April23_CPI_data[[#This Row],[Recreation and amusement]],All_India_Index_Upto_April23_CPI_data[[#This Row],[Pan, tobacco and intoxicants]])</f>
        <v>180.45</v>
      </c>
      <c r="AF338" s="2">
        <f>AVERAGE(All_India_Index_Upto_April23_CPI_data[[#This Row],[Household goods and services]],All_India_Index_Upto_April23_CPI_data[[#This Row],[Housing]])</f>
        <v>85.15</v>
      </c>
      <c r="AG338" s="2">
        <f>AVERAGE(All_India_Index_Upto_April23_CPI_data[[#This Row],[Personal care and effects]],All_India_Index_Upto_April23_CPI_data[[#This Row],[Health]])</f>
        <v>173.85</v>
      </c>
      <c r="AH338" s="2">
        <f>AVERAGE(All_India_Index_Upto_April23_CPI_data[[#This Row],[Clothing]:[Clothing and footwear]])</f>
        <v>179.93333333333331</v>
      </c>
      <c r="AI338" s="2">
        <v>173.6</v>
      </c>
      <c r="AJ338" s="1">
        <f>(All_India_Index_Upto_April23_CPI_data[[#This Row],[General index]]-AI335)/AI335</f>
        <v>6.3768115942028653E-3</v>
      </c>
    </row>
    <row r="339" spans="1:36" x14ac:dyDescent="0.25">
      <c r="A339" t="s">
        <v>32</v>
      </c>
      <c r="B339">
        <v>2022</v>
      </c>
      <c r="C339" t="s">
        <v>38</v>
      </c>
      <c r="D339" s="2">
        <v>157.5</v>
      </c>
      <c r="E339" s="2">
        <v>223.4</v>
      </c>
      <c r="F339" s="2">
        <v>172.8</v>
      </c>
      <c r="G339" s="2">
        <v>166.4</v>
      </c>
      <c r="H339" s="2">
        <v>188.6</v>
      </c>
      <c r="I339" s="2">
        <v>174.1</v>
      </c>
      <c r="J339" s="2">
        <v>211.5</v>
      </c>
      <c r="K339" s="2">
        <v>163.6</v>
      </c>
      <c r="L339" s="2">
        <v>121.4</v>
      </c>
      <c r="M339" s="2">
        <v>183.5</v>
      </c>
      <c r="N339" s="2">
        <v>159.1</v>
      </c>
      <c r="O339" s="2">
        <v>186.3</v>
      </c>
      <c r="P339" s="2">
        <v>179.3</v>
      </c>
      <c r="Q339" s="2">
        <v>198.3</v>
      </c>
      <c r="R339" s="2">
        <v>171.6</v>
      </c>
      <c r="S339" s="2">
        <v>157.4</v>
      </c>
      <c r="T339" s="2">
        <v>169.4</v>
      </c>
      <c r="U339" s="2">
        <v>166.8</v>
      </c>
      <c r="V339" s="2">
        <v>174.9</v>
      </c>
      <c r="W339" s="2">
        <v>162.1</v>
      </c>
      <c r="X339" s="2">
        <v>170.9</v>
      </c>
      <c r="Y339" s="2">
        <v>157.19999999999999</v>
      </c>
      <c r="Z339" s="2">
        <v>164.1</v>
      </c>
      <c r="AA339" s="2">
        <v>166.5</v>
      </c>
      <c r="AB339" s="2">
        <v>169.2</v>
      </c>
      <c r="AC339" s="2">
        <v>163.80000000000001</v>
      </c>
      <c r="AD339" s="2">
        <f>AVERAGE(All_India_Index_Upto_April23_CPI_data[[#This Row],[Cereals and products]:[Food and beverages]])</f>
        <v>175.96153846153845</v>
      </c>
      <c r="AE339" s="2">
        <f>AVERAGE(All_India_Index_Upto_April23_CPI_data[[#This Row],[Recreation and amusement]],All_India_Index_Upto_April23_CPI_data[[#This Row],[Pan, tobacco and intoxicants]])</f>
        <v>181.2</v>
      </c>
      <c r="AF339" s="2">
        <f>AVERAGE(All_India_Index_Upto_April23_CPI_data[[#This Row],[Household goods and services]],All_India_Index_Upto_April23_CPI_data[[#This Row],[Housing]])</f>
        <v>164.45</v>
      </c>
      <c r="AG339" s="2">
        <f>AVERAGE(All_India_Index_Upto_April23_CPI_data[[#This Row],[Personal care and effects]],All_India_Index_Upto_April23_CPI_data[[#This Row],[Health]])</f>
        <v>170.05</v>
      </c>
      <c r="AH339" s="2">
        <f>AVERAGE(All_India_Index_Upto_April23_CPI_data[[#This Row],[Clothing]:[Clothing and footwear]])</f>
        <v>166.13333333333333</v>
      </c>
      <c r="AI339" s="2">
        <v>171.4</v>
      </c>
      <c r="AJ339" s="1">
        <f>(All_India_Index_Upto_April23_CPI_data[[#This Row],[General index]]-AI336)/AI336</f>
        <v>3.5128805620608565E-3</v>
      </c>
    </row>
    <row r="340" spans="1:36" x14ac:dyDescent="0.25">
      <c r="A340" t="s">
        <v>33</v>
      </c>
      <c r="B340">
        <v>2022</v>
      </c>
      <c r="C340" t="s">
        <v>38</v>
      </c>
      <c r="D340" s="2">
        <v>155</v>
      </c>
      <c r="E340" s="2">
        <v>219.4</v>
      </c>
      <c r="F340" s="2">
        <v>170.8</v>
      </c>
      <c r="G340" s="2">
        <v>165.8</v>
      </c>
      <c r="H340" s="2">
        <v>200.9</v>
      </c>
      <c r="I340" s="2">
        <v>169.7</v>
      </c>
      <c r="J340" s="2">
        <v>182.3</v>
      </c>
      <c r="K340" s="2">
        <v>164.3</v>
      </c>
      <c r="L340" s="2">
        <v>119.9</v>
      </c>
      <c r="M340" s="2">
        <v>187.1</v>
      </c>
      <c r="N340" s="2">
        <v>167.9</v>
      </c>
      <c r="O340" s="2">
        <v>183.9</v>
      </c>
      <c r="P340" s="2">
        <v>174.9</v>
      </c>
      <c r="Q340" s="2">
        <v>194.3</v>
      </c>
      <c r="R340" s="2">
        <v>177.1</v>
      </c>
      <c r="S340" s="2">
        <v>169.9</v>
      </c>
      <c r="T340" s="2">
        <v>176</v>
      </c>
      <c r="U340" s="2">
        <v>166.8</v>
      </c>
      <c r="V340" s="2">
        <v>176</v>
      </c>
      <c r="W340" s="2">
        <v>166.4</v>
      </c>
      <c r="X340" s="2">
        <v>175.4</v>
      </c>
      <c r="Y340" s="2">
        <v>161.1</v>
      </c>
      <c r="Z340" s="2">
        <v>165.8</v>
      </c>
      <c r="AA340" s="2">
        <v>169</v>
      </c>
      <c r="AB340" s="2">
        <v>169.4</v>
      </c>
      <c r="AC340" s="2">
        <v>167.5</v>
      </c>
      <c r="AD340" s="2">
        <f>AVERAGE(All_India_Index_Upto_April23_CPI_data[[#This Row],[Cereals and products]:[Food and beverages]])</f>
        <v>173.99230769230769</v>
      </c>
      <c r="AE340" s="2">
        <f>AVERAGE(All_India_Index_Upto_April23_CPI_data[[#This Row],[Recreation and amusement]],All_India_Index_Upto_April23_CPI_data[[#This Row],[Pan, tobacco and intoxicants]])</f>
        <v>180.05</v>
      </c>
      <c r="AF340" s="2">
        <f>AVERAGE(All_India_Index_Upto_April23_CPI_data[[#This Row],[Household goods and services]],All_India_Index_Upto_April23_CPI_data[[#This Row],[Housing]])</f>
        <v>166.60000000000002</v>
      </c>
      <c r="AG340" s="2">
        <f>AVERAGE(All_India_Index_Upto_April23_CPI_data[[#This Row],[Personal care and effects]],All_India_Index_Upto_April23_CPI_data[[#This Row],[Health]])</f>
        <v>172.4</v>
      </c>
      <c r="AH340" s="2">
        <f>AVERAGE(All_India_Index_Upto_April23_CPI_data[[#This Row],[Clothing]:[Clothing and footwear]])</f>
        <v>174.33333333333334</v>
      </c>
      <c r="AI340" s="2">
        <v>172.6</v>
      </c>
      <c r="AJ340" s="1">
        <f>(All_India_Index_Upto_April23_CPI_data[[#This Row],[General index]]-AI337)/AI337</f>
        <v>5.2417006406523343E-3</v>
      </c>
    </row>
    <row r="341" spans="1:36" x14ac:dyDescent="0.25">
      <c r="A341" t="s">
        <v>30</v>
      </c>
      <c r="B341">
        <v>2022</v>
      </c>
      <c r="C341" t="s">
        <v>39</v>
      </c>
      <c r="D341" s="2">
        <v>155.19999999999999</v>
      </c>
      <c r="E341" s="2">
        <v>210.8</v>
      </c>
      <c r="F341" s="2">
        <v>174.3</v>
      </c>
      <c r="G341" s="2">
        <v>166.3</v>
      </c>
      <c r="H341" s="2">
        <v>202.2</v>
      </c>
      <c r="I341" s="2">
        <v>169.6</v>
      </c>
      <c r="J341" s="2">
        <v>168.6</v>
      </c>
      <c r="K341" s="2">
        <v>164.4</v>
      </c>
      <c r="L341" s="2">
        <v>119.2</v>
      </c>
      <c r="M341" s="2">
        <v>191.8</v>
      </c>
      <c r="N341" s="2">
        <v>174.5</v>
      </c>
      <c r="O341" s="2">
        <v>183.1</v>
      </c>
      <c r="P341" s="2">
        <v>172.5</v>
      </c>
      <c r="Q341" s="2">
        <v>193.2</v>
      </c>
      <c r="R341" s="2">
        <v>182</v>
      </c>
      <c r="S341" s="2">
        <v>180.3</v>
      </c>
      <c r="T341" s="2">
        <v>181.7</v>
      </c>
      <c r="U341" s="2">
        <v>0</v>
      </c>
      <c r="V341" s="2">
        <v>179.6</v>
      </c>
      <c r="W341" s="2">
        <v>171.3</v>
      </c>
      <c r="X341" s="2">
        <v>178.8</v>
      </c>
      <c r="Y341" s="2">
        <v>166.3</v>
      </c>
      <c r="Z341" s="2">
        <v>168.6</v>
      </c>
      <c r="AA341" s="2">
        <v>174.7</v>
      </c>
      <c r="AB341" s="2">
        <v>169.7</v>
      </c>
      <c r="AC341" s="2">
        <v>171.8</v>
      </c>
      <c r="AD341" s="2">
        <f>AVERAGE(All_India_Index_Upto_April23_CPI_data[[#This Row],[Cereals and products]:[Food and beverages]])</f>
        <v>173.26923076923077</v>
      </c>
      <c r="AE341" s="2">
        <f>AVERAGE(All_India_Index_Upto_April23_CPI_data[[#This Row],[Recreation and amusement]],All_India_Index_Upto_April23_CPI_data[[#This Row],[Pan, tobacco and intoxicants]])</f>
        <v>180.89999999999998</v>
      </c>
      <c r="AF341" s="2">
        <f>AVERAGE(All_India_Index_Upto_April23_CPI_data[[#This Row],[Household goods and services]],All_India_Index_Upto_April23_CPI_data[[#This Row],[Housing]])</f>
        <v>85.65</v>
      </c>
      <c r="AG341" s="2">
        <f>AVERAGE(All_India_Index_Upto_April23_CPI_data[[#This Row],[Personal care and effects]],All_India_Index_Upto_April23_CPI_data[[#This Row],[Health]])</f>
        <v>174.25</v>
      </c>
      <c r="AH341" s="2">
        <f>AVERAGE(All_India_Index_Upto_April23_CPI_data[[#This Row],[Clothing]:[Clothing and footwear]])</f>
        <v>181.33333333333334</v>
      </c>
      <c r="AI341" s="2">
        <v>174.3</v>
      </c>
      <c r="AJ341" s="1">
        <f>(All_India_Index_Upto_April23_CPI_data[[#This Row],[General index]]-AI338)/AI338</f>
        <v>4.0322580645162278E-3</v>
      </c>
    </row>
    <row r="342" spans="1:36" x14ac:dyDescent="0.25">
      <c r="A342" t="s">
        <v>32</v>
      </c>
      <c r="B342">
        <v>2022</v>
      </c>
      <c r="C342" t="s">
        <v>39</v>
      </c>
      <c r="D342" s="2">
        <v>159.30000000000001</v>
      </c>
      <c r="E342" s="2">
        <v>217.1</v>
      </c>
      <c r="F342" s="2">
        <v>176.6</v>
      </c>
      <c r="G342" s="2">
        <v>167.1</v>
      </c>
      <c r="H342" s="2">
        <v>184.8</v>
      </c>
      <c r="I342" s="2">
        <v>179.5</v>
      </c>
      <c r="J342" s="2">
        <v>208.5</v>
      </c>
      <c r="K342" s="2">
        <v>164</v>
      </c>
      <c r="L342" s="2">
        <v>121.5</v>
      </c>
      <c r="M342" s="2">
        <v>186.3</v>
      </c>
      <c r="N342" s="2">
        <v>159.80000000000001</v>
      </c>
      <c r="O342" s="2">
        <v>187.7</v>
      </c>
      <c r="P342" s="2">
        <v>179.4</v>
      </c>
      <c r="Q342" s="2">
        <v>198.6</v>
      </c>
      <c r="R342" s="2">
        <v>172.7</v>
      </c>
      <c r="S342" s="2">
        <v>158.69999999999999</v>
      </c>
      <c r="T342" s="2">
        <v>170.6</v>
      </c>
      <c r="U342" s="2">
        <v>167.8</v>
      </c>
      <c r="V342" s="2">
        <v>179.5</v>
      </c>
      <c r="W342" s="2">
        <v>163.1</v>
      </c>
      <c r="X342" s="2">
        <v>171.7</v>
      </c>
      <c r="Y342" s="2">
        <v>157.4</v>
      </c>
      <c r="Z342" s="2">
        <v>164.6</v>
      </c>
      <c r="AA342" s="2">
        <v>169.1</v>
      </c>
      <c r="AB342" s="2">
        <v>169.8</v>
      </c>
      <c r="AC342" s="2">
        <v>164.7</v>
      </c>
      <c r="AD342" s="2">
        <f>AVERAGE(All_India_Index_Upto_April23_CPI_data[[#This Row],[Cereals and products]:[Food and beverages]])</f>
        <v>176.27692307692308</v>
      </c>
      <c r="AE342" s="2">
        <f>AVERAGE(All_India_Index_Upto_April23_CPI_data[[#This Row],[Recreation and amusement]],All_India_Index_Upto_April23_CPI_data[[#This Row],[Pan, tobacco and intoxicants]])</f>
        <v>181.6</v>
      </c>
      <c r="AF342" s="2">
        <f>AVERAGE(All_India_Index_Upto_April23_CPI_data[[#This Row],[Household goods and services]],All_India_Index_Upto_April23_CPI_data[[#This Row],[Housing]])</f>
        <v>165.45</v>
      </c>
      <c r="AG342" s="2">
        <f>AVERAGE(All_India_Index_Upto_April23_CPI_data[[#This Row],[Personal care and effects]],All_India_Index_Upto_April23_CPI_data[[#This Row],[Health]])</f>
        <v>170.75</v>
      </c>
      <c r="AH342" s="2">
        <f>AVERAGE(All_India_Index_Upto_April23_CPI_data[[#This Row],[Clothing]:[Clothing and footwear]])</f>
        <v>167.33333333333334</v>
      </c>
      <c r="AI342" s="2">
        <v>172.3</v>
      </c>
      <c r="AJ342" s="1">
        <f>(All_India_Index_Upto_April23_CPI_data[[#This Row],[General index]]-AI339)/AI339</f>
        <v>5.2508751458576761E-3</v>
      </c>
    </row>
    <row r="343" spans="1:36" x14ac:dyDescent="0.25">
      <c r="A343" t="s">
        <v>33</v>
      </c>
      <c r="B343">
        <v>2022</v>
      </c>
      <c r="C343" t="s">
        <v>39</v>
      </c>
      <c r="D343" s="2">
        <v>156.5</v>
      </c>
      <c r="E343" s="2">
        <v>213</v>
      </c>
      <c r="F343" s="2">
        <v>175.2</v>
      </c>
      <c r="G343" s="2">
        <v>166.6</v>
      </c>
      <c r="H343" s="2">
        <v>195.8</v>
      </c>
      <c r="I343" s="2">
        <v>174.2</v>
      </c>
      <c r="J343" s="2">
        <v>182.1</v>
      </c>
      <c r="K343" s="2">
        <v>164.3</v>
      </c>
      <c r="L343" s="2">
        <v>120</v>
      </c>
      <c r="M343" s="2">
        <v>190</v>
      </c>
      <c r="N343" s="2">
        <v>168.4</v>
      </c>
      <c r="O343" s="2">
        <v>185.2</v>
      </c>
      <c r="P343" s="2">
        <v>175</v>
      </c>
      <c r="Q343" s="2">
        <v>194.6</v>
      </c>
      <c r="R343" s="2">
        <v>178.3</v>
      </c>
      <c r="S343" s="2">
        <v>171.3</v>
      </c>
      <c r="T343" s="2">
        <v>177.3</v>
      </c>
      <c r="U343" s="2">
        <v>167.8</v>
      </c>
      <c r="V343" s="2">
        <v>179.6</v>
      </c>
      <c r="W343" s="2">
        <v>167.4</v>
      </c>
      <c r="X343" s="2">
        <v>176.1</v>
      </c>
      <c r="Y343" s="2">
        <v>161.6</v>
      </c>
      <c r="Z343" s="2">
        <v>166.3</v>
      </c>
      <c r="AA343" s="2">
        <v>171.4</v>
      </c>
      <c r="AB343" s="2">
        <v>169.7</v>
      </c>
      <c r="AC343" s="2">
        <v>168.4</v>
      </c>
      <c r="AD343" s="2">
        <f>AVERAGE(All_India_Index_Upto_April23_CPI_data[[#This Row],[Cereals and products]:[Food and beverages]])</f>
        <v>174.33076923076925</v>
      </c>
      <c r="AE343" s="2">
        <f>AVERAGE(All_India_Index_Upto_April23_CPI_data[[#This Row],[Recreation and amusement]],All_India_Index_Upto_April23_CPI_data[[#This Row],[Pan, tobacco and intoxicants]])</f>
        <v>180.45</v>
      </c>
      <c r="AF343" s="2">
        <f>AVERAGE(All_India_Index_Upto_April23_CPI_data[[#This Row],[Household goods and services]],All_India_Index_Upto_April23_CPI_data[[#This Row],[Housing]])</f>
        <v>167.60000000000002</v>
      </c>
      <c r="AG343" s="2">
        <f>AVERAGE(All_India_Index_Upto_April23_CPI_data[[#This Row],[Personal care and effects]],All_India_Index_Upto_April23_CPI_data[[#This Row],[Health]])</f>
        <v>172.89999999999998</v>
      </c>
      <c r="AH343" s="2">
        <f>AVERAGE(All_India_Index_Upto_April23_CPI_data[[#This Row],[Clothing]:[Clothing and footwear]])</f>
        <v>175.63333333333335</v>
      </c>
      <c r="AI343" s="2">
        <v>173.4</v>
      </c>
      <c r="AJ343" s="1">
        <f>(All_India_Index_Upto_April23_CPI_data[[#This Row],[General index]]-AI340)/AI340</f>
        <v>4.634994206257308E-3</v>
      </c>
    </row>
    <row r="344" spans="1:36" x14ac:dyDescent="0.25">
      <c r="A344" t="s">
        <v>30</v>
      </c>
      <c r="B344">
        <v>2022</v>
      </c>
      <c r="C344" t="s">
        <v>40</v>
      </c>
      <c r="D344" s="2">
        <v>159.5</v>
      </c>
      <c r="E344" s="2">
        <v>204.1</v>
      </c>
      <c r="F344" s="2">
        <v>168.3</v>
      </c>
      <c r="G344" s="2">
        <v>167.9</v>
      </c>
      <c r="H344" s="2">
        <v>198.1</v>
      </c>
      <c r="I344" s="2">
        <v>169.2</v>
      </c>
      <c r="J344" s="2">
        <v>173.1</v>
      </c>
      <c r="K344" s="2">
        <v>167.1</v>
      </c>
      <c r="L344" s="2">
        <v>120.2</v>
      </c>
      <c r="M344" s="2">
        <v>195.6</v>
      </c>
      <c r="N344" s="2">
        <v>174.8</v>
      </c>
      <c r="O344" s="2">
        <v>184</v>
      </c>
      <c r="P344" s="2">
        <v>173.9</v>
      </c>
      <c r="Q344" s="2">
        <v>193.7</v>
      </c>
      <c r="R344" s="2">
        <v>183.2</v>
      </c>
      <c r="S344" s="2">
        <v>181.7</v>
      </c>
      <c r="T344" s="2">
        <v>183</v>
      </c>
      <c r="U344" s="2">
        <v>0</v>
      </c>
      <c r="V344" s="2">
        <v>179.1</v>
      </c>
      <c r="W344" s="2">
        <v>172.3</v>
      </c>
      <c r="X344" s="2">
        <v>179.4</v>
      </c>
      <c r="Y344" s="2">
        <v>166.6</v>
      </c>
      <c r="Z344" s="2">
        <v>169.3</v>
      </c>
      <c r="AA344" s="2">
        <v>175.7</v>
      </c>
      <c r="AB344" s="2">
        <v>171.1</v>
      </c>
      <c r="AC344" s="2">
        <v>172.6</v>
      </c>
      <c r="AD344" s="2">
        <f>AVERAGE(All_India_Index_Upto_April23_CPI_data[[#This Row],[Cereals and products]:[Food and beverages]])</f>
        <v>173.5230769230769</v>
      </c>
      <c r="AE344" s="2">
        <f>AVERAGE(All_India_Index_Upto_April23_CPI_data[[#This Row],[Recreation and amusement]],All_India_Index_Upto_April23_CPI_data[[#This Row],[Pan, tobacco and intoxicants]])</f>
        <v>181.5</v>
      </c>
      <c r="AF344" s="2">
        <f>AVERAGE(All_India_Index_Upto_April23_CPI_data[[#This Row],[Household goods and services]],All_India_Index_Upto_April23_CPI_data[[#This Row],[Housing]])</f>
        <v>86.15</v>
      </c>
      <c r="AG344" s="2">
        <f>AVERAGE(All_India_Index_Upto_April23_CPI_data[[#This Row],[Personal care and effects]],All_India_Index_Upto_April23_CPI_data[[#This Row],[Health]])</f>
        <v>175.25</v>
      </c>
      <c r="AH344" s="2">
        <f>AVERAGE(All_India_Index_Upto_April23_CPI_data[[#This Row],[Clothing]:[Clothing and footwear]])</f>
        <v>182.63333333333333</v>
      </c>
      <c r="AI344" s="2">
        <v>175.3</v>
      </c>
      <c r="AJ344" s="1">
        <f>(All_India_Index_Upto_April23_CPI_data[[#This Row],[General index]]-AI341)/AI341</f>
        <v>5.737234652897303E-3</v>
      </c>
    </row>
    <row r="345" spans="1:36" x14ac:dyDescent="0.25">
      <c r="A345" t="s">
        <v>32</v>
      </c>
      <c r="B345">
        <v>2022</v>
      </c>
      <c r="C345" t="s">
        <v>40</v>
      </c>
      <c r="D345" s="2">
        <v>162.1</v>
      </c>
      <c r="E345" s="2">
        <v>210.9</v>
      </c>
      <c r="F345" s="2">
        <v>170.6</v>
      </c>
      <c r="G345" s="2">
        <v>168.4</v>
      </c>
      <c r="H345" s="2">
        <v>182.5</v>
      </c>
      <c r="I345" s="2">
        <v>177.1</v>
      </c>
      <c r="J345" s="2">
        <v>213.1</v>
      </c>
      <c r="K345" s="2">
        <v>167.3</v>
      </c>
      <c r="L345" s="2">
        <v>122.2</v>
      </c>
      <c r="M345" s="2">
        <v>189.7</v>
      </c>
      <c r="N345" s="2">
        <v>160.5</v>
      </c>
      <c r="O345" s="2">
        <v>188.9</v>
      </c>
      <c r="P345" s="2">
        <v>180.4</v>
      </c>
      <c r="Q345" s="2">
        <v>198.7</v>
      </c>
      <c r="R345" s="2">
        <v>173.7</v>
      </c>
      <c r="S345" s="2">
        <v>160</v>
      </c>
      <c r="T345" s="2">
        <v>171.6</v>
      </c>
      <c r="U345" s="2">
        <v>169</v>
      </c>
      <c r="V345" s="2">
        <v>178.4</v>
      </c>
      <c r="W345" s="2">
        <v>164.2</v>
      </c>
      <c r="X345" s="2">
        <v>172.6</v>
      </c>
      <c r="Y345" s="2">
        <v>157.69999999999999</v>
      </c>
      <c r="Z345" s="2">
        <v>165.1</v>
      </c>
      <c r="AA345" s="2">
        <v>169.9</v>
      </c>
      <c r="AB345" s="2">
        <v>171.4</v>
      </c>
      <c r="AC345" s="2">
        <v>165.4</v>
      </c>
      <c r="AD345" s="2">
        <f>AVERAGE(All_India_Index_Upto_April23_CPI_data[[#This Row],[Cereals and products]:[Food and beverages]])</f>
        <v>176.43846153846152</v>
      </c>
      <c r="AE345" s="2">
        <f>AVERAGE(All_India_Index_Upto_April23_CPI_data[[#This Row],[Recreation and amusement]],All_India_Index_Upto_April23_CPI_data[[#This Row],[Pan, tobacco and intoxicants]])</f>
        <v>181.89999999999998</v>
      </c>
      <c r="AF345" s="2">
        <f>AVERAGE(All_India_Index_Upto_April23_CPI_data[[#This Row],[Household goods and services]],All_India_Index_Upto_April23_CPI_data[[#This Row],[Housing]])</f>
        <v>166.6</v>
      </c>
      <c r="AG345" s="2">
        <f>AVERAGE(All_India_Index_Upto_April23_CPI_data[[#This Row],[Personal care and effects]],All_India_Index_Upto_April23_CPI_data[[#This Row],[Health]])</f>
        <v>172</v>
      </c>
      <c r="AH345" s="2">
        <f>AVERAGE(All_India_Index_Upto_April23_CPI_data[[#This Row],[Clothing]:[Clothing and footwear]])</f>
        <v>168.43333333333331</v>
      </c>
      <c r="AI345" s="2">
        <v>173.1</v>
      </c>
      <c r="AJ345" s="1">
        <f>(All_India_Index_Upto_April23_CPI_data[[#This Row],[General index]]-AI342)/AI342</f>
        <v>4.6430644225187636E-3</v>
      </c>
    </row>
    <row r="346" spans="1:36" x14ac:dyDescent="0.25">
      <c r="A346" t="s">
        <v>33</v>
      </c>
      <c r="B346">
        <v>2022</v>
      </c>
      <c r="C346" t="s">
        <v>40</v>
      </c>
      <c r="D346" s="2">
        <v>160.30000000000001</v>
      </c>
      <c r="E346" s="2">
        <v>206.5</v>
      </c>
      <c r="F346" s="2">
        <v>169.2</v>
      </c>
      <c r="G346" s="2">
        <v>168.1</v>
      </c>
      <c r="H346" s="2">
        <v>192.4</v>
      </c>
      <c r="I346" s="2">
        <v>172.9</v>
      </c>
      <c r="J346" s="2">
        <v>186.7</v>
      </c>
      <c r="K346" s="2">
        <v>167.2</v>
      </c>
      <c r="L346" s="2">
        <v>120.9</v>
      </c>
      <c r="M346" s="2">
        <v>193.6</v>
      </c>
      <c r="N346" s="2">
        <v>168.8</v>
      </c>
      <c r="O346" s="2">
        <v>186.3</v>
      </c>
      <c r="P346" s="2">
        <v>176.3</v>
      </c>
      <c r="Q346" s="2">
        <v>195</v>
      </c>
      <c r="R346" s="2">
        <v>179.5</v>
      </c>
      <c r="S346" s="2">
        <v>172.7</v>
      </c>
      <c r="T346" s="2">
        <v>178.5</v>
      </c>
      <c r="U346" s="2">
        <v>169</v>
      </c>
      <c r="V346" s="2">
        <v>178.8</v>
      </c>
      <c r="W346" s="2">
        <v>168.5</v>
      </c>
      <c r="X346" s="2">
        <v>176.8</v>
      </c>
      <c r="Y346" s="2">
        <v>161.9</v>
      </c>
      <c r="Z346" s="2">
        <v>166.9</v>
      </c>
      <c r="AA346" s="2">
        <v>172.3</v>
      </c>
      <c r="AB346" s="2">
        <v>171.2</v>
      </c>
      <c r="AC346" s="2">
        <v>169.1</v>
      </c>
      <c r="AD346" s="2">
        <f>AVERAGE(All_India_Index_Upto_April23_CPI_data[[#This Row],[Cereals and products]:[Food and beverages]])</f>
        <v>174.55384615384617</v>
      </c>
      <c r="AE346" s="2">
        <f>AVERAGE(All_India_Index_Upto_April23_CPI_data[[#This Row],[Recreation and amusement]],All_India_Index_Upto_April23_CPI_data[[#This Row],[Pan, tobacco and intoxicants]])</f>
        <v>180.95</v>
      </c>
      <c r="AF346" s="2">
        <f>AVERAGE(All_India_Index_Upto_April23_CPI_data[[#This Row],[Household goods and services]],All_India_Index_Upto_April23_CPI_data[[#This Row],[Housing]])</f>
        <v>168.75</v>
      </c>
      <c r="AG346" s="2">
        <f>AVERAGE(All_India_Index_Upto_April23_CPI_data[[#This Row],[Personal care and effects]],All_India_Index_Upto_April23_CPI_data[[#This Row],[Health]])</f>
        <v>174</v>
      </c>
      <c r="AH346" s="2">
        <f>AVERAGE(All_India_Index_Upto_April23_CPI_data[[#This Row],[Clothing]:[Clothing and footwear]])</f>
        <v>176.9</v>
      </c>
      <c r="AI346" s="2">
        <v>174.3</v>
      </c>
      <c r="AJ346" s="1">
        <f>(All_India_Index_Upto_April23_CPI_data[[#This Row],[General index]]-AI343)/AI343</f>
        <v>5.1903114186851538E-3</v>
      </c>
    </row>
    <row r="347" spans="1:36" x14ac:dyDescent="0.25">
      <c r="A347" t="s">
        <v>30</v>
      </c>
      <c r="B347">
        <v>2022</v>
      </c>
      <c r="C347" t="s">
        <v>41</v>
      </c>
      <c r="D347" s="2">
        <v>162.9</v>
      </c>
      <c r="E347" s="2">
        <v>206.7</v>
      </c>
      <c r="F347" s="2">
        <v>169</v>
      </c>
      <c r="G347" s="2">
        <v>169.5</v>
      </c>
      <c r="H347" s="2">
        <v>194.1</v>
      </c>
      <c r="I347" s="2">
        <v>164.1</v>
      </c>
      <c r="J347" s="2">
        <v>176.9</v>
      </c>
      <c r="K347" s="2">
        <v>169</v>
      </c>
      <c r="L347" s="2">
        <v>120.8</v>
      </c>
      <c r="M347" s="2">
        <v>199.1</v>
      </c>
      <c r="N347" s="2">
        <v>175.4</v>
      </c>
      <c r="O347" s="2">
        <v>184.8</v>
      </c>
      <c r="P347" s="2">
        <v>175.5</v>
      </c>
      <c r="Q347" s="2">
        <v>194.5</v>
      </c>
      <c r="R347" s="2">
        <v>184.7</v>
      </c>
      <c r="S347" s="2">
        <v>183.3</v>
      </c>
      <c r="T347" s="2">
        <v>184.5</v>
      </c>
      <c r="U347" s="2">
        <v>0</v>
      </c>
      <c r="V347" s="2">
        <v>179.7</v>
      </c>
      <c r="W347" s="2">
        <v>173.6</v>
      </c>
      <c r="X347" s="2">
        <v>180.2</v>
      </c>
      <c r="Y347" s="2">
        <v>166.9</v>
      </c>
      <c r="Z347" s="2">
        <v>170</v>
      </c>
      <c r="AA347" s="2">
        <v>176.2</v>
      </c>
      <c r="AB347" s="2">
        <v>170.8</v>
      </c>
      <c r="AC347" s="2">
        <v>173.1</v>
      </c>
      <c r="AD347" s="2">
        <f>AVERAGE(All_India_Index_Upto_April23_CPI_data[[#This Row],[Cereals and products]:[Food and beverages]])</f>
        <v>174.44615384615386</v>
      </c>
      <c r="AE347" s="2">
        <f>AVERAGE(All_India_Index_Upto_April23_CPI_data[[#This Row],[Recreation and amusement]],All_India_Index_Upto_April23_CPI_data[[#This Row],[Pan, tobacco and intoxicants]])</f>
        <v>182.25</v>
      </c>
      <c r="AF347" s="2">
        <f>AVERAGE(All_India_Index_Upto_April23_CPI_data[[#This Row],[Household goods and services]],All_India_Index_Upto_April23_CPI_data[[#This Row],[Housing]])</f>
        <v>86.8</v>
      </c>
      <c r="AG347" s="2">
        <f>AVERAGE(All_India_Index_Upto_April23_CPI_data[[#This Row],[Personal care and effects]],All_India_Index_Upto_April23_CPI_data[[#This Row],[Health]])</f>
        <v>175.5</v>
      </c>
      <c r="AH347" s="2">
        <f>AVERAGE(All_India_Index_Upto_April23_CPI_data[[#This Row],[Clothing]:[Clothing and footwear]])</f>
        <v>184.16666666666666</v>
      </c>
      <c r="AI347" s="2">
        <v>176.4</v>
      </c>
      <c r="AJ347" s="1">
        <f>(All_India_Index_Upto_April23_CPI_data[[#This Row],[General index]]-AI344)/AI344</f>
        <v>6.2749572162007659E-3</v>
      </c>
    </row>
    <row r="348" spans="1:36" x14ac:dyDescent="0.25">
      <c r="A348" t="s">
        <v>32</v>
      </c>
      <c r="B348">
        <v>2022</v>
      </c>
      <c r="C348" t="s">
        <v>41</v>
      </c>
      <c r="D348" s="2">
        <v>164.9</v>
      </c>
      <c r="E348" s="2">
        <v>213.7</v>
      </c>
      <c r="F348" s="2">
        <v>170.9</v>
      </c>
      <c r="G348" s="2">
        <v>170.1</v>
      </c>
      <c r="H348" s="2">
        <v>179.3</v>
      </c>
      <c r="I348" s="2">
        <v>167.5</v>
      </c>
      <c r="J348" s="2">
        <v>220.8</v>
      </c>
      <c r="K348" s="2">
        <v>169.2</v>
      </c>
      <c r="L348" s="2">
        <v>123.1</v>
      </c>
      <c r="M348" s="2">
        <v>193.6</v>
      </c>
      <c r="N348" s="2">
        <v>161.1</v>
      </c>
      <c r="O348" s="2">
        <v>190.4</v>
      </c>
      <c r="P348" s="2">
        <v>181.8</v>
      </c>
      <c r="Q348" s="2">
        <v>199.7</v>
      </c>
      <c r="R348" s="2">
        <v>175</v>
      </c>
      <c r="S348" s="2">
        <v>161.69999999999999</v>
      </c>
      <c r="T348" s="2">
        <v>173</v>
      </c>
      <c r="U348" s="2">
        <v>169.5</v>
      </c>
      <c r="V348" s="2">
        <v>179.2</v>
      </c>
      <c r="W348" s="2">
        <v>165</v>
      </c>
      <c r="X348" s="2">
        <v>173.8</v>
      </c>
      <c r="Y348" s="2">
        <v>158.19999999999999</v>
      </c>
      <c r="Z348" s="2">
        <v>165.8</v>
      </c>
      <c r="AA348" s="2">
        <v>170.9</v>
      </c>
      <c r="AB348" s="2">
        <v>171.1</v>
      </c>
      <c r="AC348" s="2">
        <v>166.1</v>
      </c>
      <c r="AD348" s="2">
        <f>AVERAGE(All_India_Index_Upto_April23_CPI_data[[#This Row],[Cereals and products]:[Food and beverages]])</f>
        <v>177.41538461538462</v>
      </c>
      <c r="AE348" s="2">
        <f>AVERAGE(All_India_Index_Upto_April23_CPI_data[[#This Row],[Recreation and amusement]],All_India_Index_Upto_April23_CPI_data[[#This Row],[Pan, tobacco and intoxicants]])</f>
        <v>182.75</v>
      </c>
      <c r="AF348" s="2">
        <f>AVERAGE(All_India_Index_Upto_April23_CPI_data[[#This Row],[Household goods and services]],All_India_Index_Upto_April23_CPI_data[[#This Row],[Housing]])</f>
        <v>167.25</v>
      </c>
      <c r="AG348" s="2">
        <f>AVERAGE(All_India_Index_Upto_April23_CPI_data[[#This Row],[Personal care and effects]],All_India_Index_Upto_April23_CPI_data[[#This Row],[Health]])</f>
        <v>172.45</v>
      </c>
      <c r="AH348" s="2">
        <f>AVERAGE(All_India_Index_Upto_April23_CPI_data[[#This Row],[Clothing]:[Clothing and footwear]])</f>
        <v>169.9</v>
      </c>
      <c r="AI348" s="2">
        <v>174.1</v>
      </c>
      <c r="AJ348" s="1">
        <f>(All_India_Index_Upto_April23_CPI_data[[#This Row],[General index]]-AI345)/AI345</f>
        <v>5.7770075101097633E-3</v>
      </c>
    </row>
    <row r="349" spans="1:36" x14ac:dyDescent="0.25">
      <c r="A349" t="s">
        <v>33</v>
      </c>
      <c r="B349">
        <v>2022</v>
      </c>
      <c r="C349" t="s">
        <v>41</v>
      </c>
      <c r="D349" s="2">
        <v>163.5</v>
      </c>
      <c r="E349" s="2">
        <v>209.2</v>
      </c>
      <c r="F349" s="2">
        <v>169.7</v>
      </c>
      <c r="G349" s="2">
        <v>169.7</v>
      </c>
      <c r="H349" s="2">
        <v>188.7</v>
      </c>
      <c r="I349" s="2">
        <v>165.7</v>
      </c>
      <c r="J349" s="2">
        <v>191.8</v>
      </c>
      <c r="K349" s="2">
        <v>169.1</v>
      </c>
      <c r="L349" s="2">
        <v>121.6</v>
      </c>
      <c r="M349" s="2">
        <v>197.3</v>
      </c>
      <c r="N349" s="2">
        <v>169.4</v>
      </c>
      <c r="O349" s="2">
        <v>187.4</v>
      </c>
      <c r="P349" s="2">
        <v>177.8</v>
      </c>
      <c r="Q349" s="2">
        <v>195.9</v>
      </c>
      <c r="R349" s="2">
        <v>180.9</v>
      </c>
      <c r="S349" s="2">
        <v>174.3</v>
      </c>
      <c r="T349" s="2">
        <v>179.9</v>
      </c>
      <c r="U349" s="2">
        <v>169.5</v>
      </c>
      <c r="V349" s="2">
        <v>179.5</v>
      </c>
      <c r="W349" s="2">
        <v>169.5</v>
      </c>
      <c r="X349" s="2">
        <v>177.8</v>
      </c>
      <c r="Y349" s="2">
        <v>162.30000000000001</v>
      </c>
      <c r="Z349" s="2">
        <v>167.6</v>
      </c>
      <c r="AA349" s="2">
        <v>173.1</v>
      </c>
      <c r="AB349" s="2">
        <v>170.9</v>
      </c>
      <c r="AC349" s="2">
        <v>169.7</v>
      </c>
      <c r="AD349" s="2">
        <f>AVERAGE(All_India_Index_Upto_April23_CPI_data[[#This Row],[Cereals and products]:[Food and beverages]])</f>
        <v>175.45384615384617</v>
      </c>
      <c r="AE349" s="2">
        <f>AVERAGE(All_India_Index_Upto_April23_CPI_data[[#This Row],[Recreation and amusement]],All_India_Index_Upto_April23_CPI_data[[#This Row],[Pan, tobacco and intoxicants]])</f>
        <v>181.75</v>
      </c>
      <c r="AF349" s="2">
        <f>AVERAGE(All_India_Index_Upto_April23_CPI_data[[#This Row],[Household goods and services]],All_India_Index_Upto_April23_CPI_data[[#This Row],[Housing]])</f>
        <v>169.5</v>
      </c>
      <c r="AG349" s="2">
        <f>AVERAGE(All_India_Index_Upto_April23_CPI_data[[#This Row],[Personal care and effects]],All_India_Index_Upto_April23_CPI_data[[#This Row],[Health]])</f>
        <v>174.35000000000002</v>
      </c>
      <c r="AH349" s="2">
        <f>AVERAGE(All_India_Index_Upto_April23_CPI_data[[#This Row],[Clothing]:[Clothing and footwear]])</f>
        <v>178.36666666666667</v>
      </c>
      <c r="AI349" s="2">
        <v>175.3</v>
      </c>
      <c r="AJ349" s="1">
        <f>(All_India_Index_Upto_April23_CPI_data[[#This Row],[General index]]-AI346)/AI346</f>
        <v>5.737234652897303E-3</v>
      </c>
    </row>
    <row r="350" spans="1:36" x14ac:dyDescent="0.25">
      <c r="A350" t="s">
        <v>30</v>
      </c>
      <c r="B350">
        <v>2022</v>
      </c>
      <c r="C350" t="s">
        <v>42</v>
      </c>
      <c r="D350" s="2">
        <v>164.7</v>
      </c>
      <c r="E350" s="2">
        <v>208.8</v>
      </c>
      <c r="F350" s="2">
        <v>170.3</v>
      </c>
      <c r="G350" s="2">
        <v>170.9</v>
      </c>
      <c r="H350" s="2">
        <v>191.6</v>
      </c>
      <c r="I350" s="2">
        <v>162.19999999999999</v>
      </c>
      <c r="J350" s="2">
        <v>184.8</v>
      </c>
      <c r="K350" s="2">
        <v>169.7</v>
      </c>
      <c r="L350" s="2">
        <v>121.1</v>
      </c>
      <c r="M350" s="2">
        <v>201.6</v>
      </c>
      <c r="N350" s="2">
        <v>175.8</v>
      </c>
      <c r="O350" s="2">
        <v>185.6</v>
      </c>
      <c r="P350" s="2">
        <v>177.4</v>
      </c>
      <c r="Q350" s="2">
        <v>194.9</v>
      </c>
      <c r="R350" s="2">
        <v>186.1</v>
      </c>
      <c r="S350" s="2">
        <v>184.4</v>
      </c>
      <c r="T350" s="2">
        <v>185.9</v>
      </c>
      <c r="U350" s="2">
        <v>0</v>
      </c>
      <c r="V350" s="2">
        <v>180.8</v>
      </c>
      <c r="W350" s="2">
        <v>174.4</v>
      </c>
      <c r="X350" s="2">
        <v>181.2</v>
      </c>
      <c r="Y350" s="2">
        <v>167.4</v>
      </c>
      <c r="Z350" s="2">
        <v>170.6</v>
      </c>
      <c r="AA350" s="2">
        <v>176.5</v>
      </c>
      <c r="AB350" s="2">
        <v>172</v>
      </c>
      <c r="AC350" s="2">
        <v>173.9</v>
      </c>
      <c r="AD350" s="2">
        <f>AVERAGE(All_India_Index_Upto_April23_CPI_data[[#This Row],[Cereals and products]:[Food and beverages]])</f>
        <v>175.73076923076923</v>
      </c>
      <c r="AE350" s="2">
        <f>AVERAGE(All_India_Index_Upto_April23_CPI_data[[#This Row],[Recreation and amusement]],All_India_Index_Upto_April23_CPI_data[[#This Row],[Pan, tobacco and intoxicants]])</f>
        <v>182.75</v>
      </c>
      <c r="AF350" s="2">
        <f>AVERAGE(All_India_Index_Upto_April23_CPI_data[[#This Row],[Household goods and services]],All_India_Index_Upto_April23_CPI_data[[#This Row],[Housing]])</f>
        <v>87.2</v>
      </c>
      <c r="AG350" s="2">
        <f>AVERAGE(All_India_Index_Upto_April23_CPI_data[[#This Row],[Personal care and effects]],All_India_Index_Upto_April23_CPI_data[[#This Row],[Health]])</f>
        <v>176.6</v>
      </c>
      <c r="AH350" s="2">
        <f>AVERAGE(All_India_Index_Upto_April23_CPI_data[[#This Row],[Clothing]:[Clothing and footwear]])</f>
        <v>185.46666666666667</v>
      </c>
      <c r="AI350" s="2">
        <v>177.9</v>
      </c>
      <c r="AJ350" s="1">
        <f>(All_India_Index_Upto_April23_CPI_data[[#This Row],[General index]]-AI347)/AI347</f>
        <v>8.5034013605442167E-3</v>
      </c>
    </row>
    <row r="351" spans="1:36" x14ac:dyDescent="0.25">
      <c r="A351" t="s">
        <v>32</v>
      </c>
      <c r="B351">
        <v>2022</v>
      </c>
      <c r="C351" t="s">
        <v>42</v>
      </c>
      <c r="D351" s="2">
        <v>166.4</v>
      </c>
      <c r="E351" s="2">
        <v>214.9</v>
      </c>
      <c r="F351" s="2">
        <v>171.9</v>
      </c>
      <c r="G351" s="2">
        <v>171</v>
      </c>
      <c r="H351" s="2">
        <v>177.7</v>
      </c>
      <c r="I351" s="2">
        <v>165.7</v>
      </c>
      <c r="J351" s="2">
        <v>228.6</v>
      </c>
      <c r="K351" s="2">
        <v>169.9</v>
      </c>
      <c r="L351" s="2">
        <v>123.4</v>
      </c>
      <c r="M351" s="2">
        <v>196.4</v>
      </c>
      <c r="N351" s="2">
        <v>161.6</v>
      </c>
      <c r="O351" s="2">
        <v>191.5</v>
      </c>
      <c r="P351" s="2">
        <v>183.3</v>
      </c>
      <c r="Q351" s="2">
        <v>200.1</v>
      </c>
      <c r="R351" s="2">
        <v>175.5</v>
      </c>
      <c r="S351" s="2">
        <v>162.6</v>
      </c>
      <c r="T351" s="2">
        <v>173.6</v>
      </c>
      <c r="U351" s="2">
        <v>171.2</v>
      </c>
      <c r="V351" s="2">
        <v>180</v>
      </c>
      <c r="W351" s="2">
        <v>166</v>
      </c>
      <c r="X351" s="2">
        <v>174.7</v>
      </c>
      <c r="Y351" s="2">
        <v>158.80000000000001</v>
      </c>
      <c r="Z351" s="2">
        <v>166.3</v>
      </c>
      <c r="AA351" s="2">
        <v>171.2</v>
      </c>
      <c r="AB351" s="2">
        <v>172.3</v>
      </c>
      <c r="AC351" s="2">
        <v>166.8</v>
      </c>
      <c r="AD351" s="2">
        <f>AVERAGE(All_India_Index_Upto_April23_CPI_data[[#This Row],[Cereals and products]:[Food and beverages]])</f>
        <v>178.63846153846154</v>
      </c>
      <c r="AE351" s="2">
        <f>AVERAGE(All_India_Index_Upto_April23_CPI_data[[#This Row],[Recreation and amusement]],All_India_Index_Upto_April23_CPI_data[[#This Row],[Pan, tobacco and intoxicants]])</f>
        <v>183.2</v>
      </c>
      <c r="AF351" s="2">
        <f>AVERAGE(All_India_Index_Upto_April23_CPI_data[[#This Row],[Household goods and services]],All_India_Index_Upto_April23_CPI_data[[#This Row],[Housing]])</f>
        <v>168.6</v>
      </c>
      <c r="AG351" s="2">
        <f>AVERAGE(All_India_Index_Upto_April23_CPI_data[[#This Row],[Personal care and effects]],All_India_Index_Upto_April23_CPI_data[[#This Row],[Health]])</f>
        <v>173.5</v>
      </c>
      <c r="AH351" s="2">
        <f>AVERAGE(All_India_Index_Upto_April23_CPI_data[[#This Row],[Clothing]:[Clothing and footwear]])</f>
        <v>170.56666666666669</v>
      </c>
      <c r="AI351" s="2">
        <v>175.3</v>
      </c>
      <c r="AJ351" s="1">
        <f>(All_India_Index_Upto_April23_CPI_data[[#This Row],[General index]]-AI348)/AI348</f>
        <v>6.8925904652499545E-3</v>
      </c>
    </row>
    <row r="352" spans="1:36" x14ac:dyDescent="0.25">
      <c r="A352" t="s">
        <v>33</v>
      </c>
      <c r="B352">
        <v>2022</v>
      </c>
      <c r="C352" t="s">
        <v>42</v>
      </c>
      <c r="D352" s="2">
        <v>165.2</v>
      </c>
      <c r="E352" s="2">
        <v>210.9</v>
      </c>
      <c r="F352" s="2">
        <v>170.9</v>
      </c>
      <c r="G352" s="2">
        <v>170.9</v>
      </c>
      <c r="H352" s="2">
        <v>186.5</v>
      </c>
      <c r="I352" s="2">
        <v>163.80000000000001</v>
      </c>
      <c r="J352" s="2">
        <v>199.7</v>
      </c>
      <c r="K352" s="2">
        <v>169.8</v>
      </c>
      <c r="L352" s="2">
        <v>121.9</v>
      </c>
      <c r="M352" s="2">
        <v>199.9</v>
      </c>
      <c r="N352" s="2">
        <v>169.9</v>
      </c>
      <c r="O352" s="2">
        <v>188.3</v>
      </c>
      <c r="P352" s="2">
        <v>179.6</v>
      </c>
      <c r="Q352" s="2">
        <v>196.3</v>
      </c>
      <c r="R352" s="2">
        <v>181.9</v>
      </c>
      <c r="S352" s="2">
        <v>175.3</v>
      </c>
      <c r="T352" s="2">
        <v>181</v>
      </c>
      <c r="U352" s="2">
        <v>171.2</v>
      </c>
      <c r="V352" s="2">
        <v>180.5</v>
      </c>
      <c r="W352" s="2">
        <v>170.4</v>
      </c>
      <c r="X352" s="2">
        <v>178.7</v>
      </c>
      <c r="Y352" s="2">
        <v>162.9</v>
      </c>
      <c r="Z352" s="2">
        <v>168.2</v>
      </c>
      <c r="AA352" s="2">
        <v>173.4</v>
      </c>
      <c r="AB352" s="2">
        <v>172.1</v>
      </c>
      <c r="AC352" s="2">
        <v>170.5</v>
      </c>
      <c r="AD352" s="2">
        <f>AVERAGE(All_India_Index_Upto_April23_CPI_data[[#This Row],[Cereals and products]:[Food and beverages]])</f>
        <v>176.71538461538464</v>
      </c>
      <c r="AE352" s="2">
        <f>AVERAGE(All_India_Index_Upto_April23_CPI_data[[#This Row],[Recreation and amusement]],All_India_Index_Upto_April23_CPI_data[[#This Row],[Pan, tobacco and intoxicants]])</f>
        <v>182.25</v>
      </c>
      <c r="AF352" s="2">
        <f>AVERAGE(All_India_Index_Upto_April23_CPI_data[[#This Row],[Household goods and services]],All_India_Index_Upto_April23_CPI_data[[#This Row],[Housing]])</f>
        <v>170.8</v>
      </c>
      <c r="AG352" s="2">
        <f>AVERAGE(All_India_Index_Upto_April23_CPI_data[[#This Row],[Personal care and effects]],All_India_Index_Upto_April23_CPI_data[[#This Row],[Health]])</f>
        <v>175.39999999999998</v>
      </c>
      <c r="AH352" s="2">
        <f>AVERAGE(All_India_Index_Upto_April23_CPI_data[[#This Row],[Clothing]:[Clothing and footwear]])</f>
        <v>179.4</v>
      </c>
      <c r="AI352" s="2">
        <v>176.7</v>
      </c>
      <c r="AJ352" s="1">
        <f>(All_India_Index_Upto_April23_CPI_data[[#This Row],[General index]]-AI349)/AI349</f>
        <v>7.9863091842554308E-3</v>
      </c>
    </row>
    <row r="353" spans="1:36" x14ac:dyDescent="0.25">
      <c r="A353" t="s">
        <v>30</v>
      </c>
      <c r="B353">
        <v>2022</v>
      </c>
      <c r="C353" t="s">
        <v>43</v>
      </c>
      <c r="D353" s="2">
        <v>166.9</v>
      </c>
      <c r="E353" s="2">
        <v>207.2</v>
      </c>
      <c r="F353" s="2">
        <v>180.2</v>
      </c>
      <c r="G353" s="2">
        <v>172.3</v>
      </c>
      <c r="H353" s="2">
        <v>194</v>
      </c>
      <c r="I353" s="2">
        <v>159.1</v>
      </c>
      <c r="J353" s="2">
        <v>171.6</v>
      </c>
      <c r="K353" s="2">
        <v>170.2</v>
      </c>
      <c r="L353" s="2">
        <v>121.5</v>
      </c>
      <c r="M353" s="2">
        <v>204.8</v>
      </c>
      <c r="N353" s="2">
        <v>176.4</v>
      </c>
      <c r="O353" s="2">
        <v>186.9</v>
      </c>
      <c r="P353" s="2">
        <v>176.6</v>
      </c>
      <c r="Q353" s="2">
        <v>195.5</v>
      </c>
      <c r="R353" s="2">
        <v>187.2</v>
      </c>
      <c r="S353" s="2">
        <v>185.2</v>
      </c>
      <c r="T353" s="2">
        <v>186.9</v>
      </c>
      <c r="U353" s="2">
        <v>0</v>
      </c>
      <c r="V353" s="2">
        <v>181.9</v>
      </c>
      <c r="W353" s="2">
        <v>175.5</v>
      </c>
      <c r="X353" s="2">
        <v>182.3</v>
      </c>
      <c r="Y353" s="2">
        <v>167.5</v>
      </c>
      <c r="Z353" s="2">
        <v>170.8</v>
      </c>
      <c r="AA353" s="2">
        <v>176.9</v>
      </c>
      <c r="AB353" s="2">
        <v>173.4</v>
      </c>
      <c r="AC353" s="2">
        <v>174.6</v>
      </c>
      <c r="AD353" s="2">
        <f>AVERAGE(All_India_Index_Upto_April23_CPI_data[[#This Row],[Cereals and products]:[Food and beverages]])</f>
        <v>175.97692307692307</v>
      </c>
      <c r="AE353" s="2">
        <f>AVERAGE(All_India_Index_Upto_April23_CPI_data[[#This Row],[Recreation and amusement]],All_India_Index_Upto_April23_CPI_data[[#This Row],[Pan, tobacco and intoxicants]])</f>
        <v>183.15</v>
      </c>
      <c r="AF353" s="2">
        <f>AVERAGE(All_India_Index_Upto_April23_CPI_data[[#This Row],[Household goods and services]],All_India_Index_Upto_April23_CPI_data[[#This Row],[Housing]])</f>
        <v>87.75</v>
      </c>
      <c r="AG353" s="2">
        <f>AVERAGE(All_India_Index_Upto_April23_CPI_data[[#This Row],[Personal care and effects]],All_India_Index_Upto_April23_CPI_data[[#This Row],[Health]])</f>
        <v>177.85000000000002</v>
      </c>
      <c r="AH353" s="2">
        <f>AVERAGE(All_India_Index_Upto_April23_CPI_data[[#This Row],[Clothing]:[Clothing and footwear]])</f>
        <v>186.43333333333331</v>
      </c>
      <c r="AI353" s="2">
        <v>177.8</v>
      </c>
      <c r="AJ353" s="1">
        <f>(All_India_Index_Upto_April23_CPI_data[[#This Row],[General index]]-AI350)/AI350</f>
        <v>-5.6211354693644919E-4</v>
      </c>
    </row>
    <row r="354" spans="1:36" x14ac:dyDescent="0.25">
      <c r="A354" t="s">
        <v>32</v>
      </c>
      <c r="B354">
        <v>2022</v>
      </c>
      <c r="C354" t="s">
        <v>43</v>
      </c>
      <c r="D354" s="2">
        <v>168.4</v>
      </c>
      <c r="E354" s="2">
        <v>213.4</v>
      </c>
      <c r="F354" s="2">
        <v>183.2</v>
      </c>
      <c r="G354" s="2">
        <v>172.3</v>
      </c>
      <c r="H354" s="2">
        <v>180</v>
      </c>
      <c r="I354" s="2">
        <v>162.6</v>
      </c>
      <c r="J354" s="2">
        <v>205.5</v>
      </c>
      <c r="K354" s="2">
        <v>171</v>
      </c>
      <c r="L354" s="2">
        <v>123.4</v>
      </c>
      <c r="M354" s="2">
        <v>198.8</v>
      </c>
      <c r="N354" s="2">
        <v>162.1</v>
      </c>
      <c r="O354" s="2">
        <v>192.4</v>
      </c>
      <c r="P354" s="2">
        <v>181.3</v>
      </c>
      <c r="Q354" s="2">
        <v>200.6</v>
      </c>
      <c r="R354" s="2">
        <v>176.7</v>
      </c>
      <c r="S354" s="2">
        <v>163.5</v>
      </c>
      <c r="T354" s="2">
        <v>174.7</v>
      </c>
      <c r="U354" s="2">
        <v>171.8</v>
      </c>
      <c r="V354" s="2">
        <v>180.3</v>
      </c>
      <c r="W354" s="2">
        <v>166.9</v>
      </c>
      <c r="X354" s="2">
        <v>175.8</v>
      </c>
      <c r="Y354" s="2">
        <v>158.9</v>
      </c>
      <c r="Z354" s="2">
        <v>166.7</v>
      </c>
      <c r="AA354" s="2">
        <v>171.5</v>
      </c>
      <c r="AB354" s="2">
        <v>173.8</v>
      </c>
      <c r="AC354" s="2">
        <v>167.4</v>
      </c>
      <c r="AD354" s="2">
        <f>AVERAGE(All_India_Index_Upto_April23_CPI_data[[#This Row],[Cereals and products]:[Food and beverages]])</f>
        <v>178.03076923076924</v>
      </c>
      <c r="AE354" s="2">
        <f>AVERAGE(All_India_Index_Upto_April23_CPI_data[[#This Row],[Recreation and amusement]],All_India_Index_Upto_April23_CPI_data[[#This Row],[Pan, tobacco and intoxicants]])</f>
        <v>183.64999999999998</v>
      </c>
      <c r="AF354" s="2">
        <f>AVERAGE(All_India_Index_Upto_April23_CPI_data[[#This Row],[Household goods and services]],All_India_Index_Upto_April23_CPI_data[[#This Row],[Housing]])</f>
        <v>169.35000000000002</v>
      </c>
      <c r="AG354" s="2">
        <f>AVERAGE(All_India_Index_Upto_April23_CPI_data[[#This Row],[Personal care and effects]],All_India_Index_Upto_April23_CPI_data[[#This Row],[Health]])</f>
        <v>174.8</v>
      </c>
      <c r="AH354" s="2">
        <f>AVERAGE(All_India_Index_Upto_April23_CPI_data[[#This Row],[Clothing]:[Clothing and footwear]])</f>
        <v>171.63333333333333</v>
      </c>
      <c r="AI354" s="2">
        <v>174.1</v>
      </c>
      <c r="AJ354" s="1">
        <f>(All_India_Index_Upto_April23_CPI_data[[#This Row],[General index]]-AI351)/AI351</f>
        <v>-6.8454078722191497E-3</v>
      </c>
    </row>
    <row r="355" spans="1:36" x14ac:dyDescent="0.25">
      <c r="A355" t="s">
        <v>33</v>
      </c>
      <c r="B355">
        <v>2022</v>
      </c>
      <c r="C355" t="s">
        <v>43</v>
      </c>
      <c r="D355" s="2">
        <v>167.4</v>
      </c>
      <c r="E355" s="2">
        <v>209.4</v>
      </c>
      <c r="F355" s="2">
        <v>181.4</v>
      </c>
      <c r="G355" s="2">
        <v>172.3</v>
      </c>
      <c r="H355" s="2">
        <v>188.9</v>
      </c>
      <c r="I355" s="2">
        <v>160.69999999999999</v>
      </c>
      <c r="J355" s="2">
        <v>183.1</v>
      </c>
      <c r="K355" s="2">
        <v>170.5</v>
      </c>
      <c r="L355" s="2">
        <v>122.1</v>
      </c>
      <c r="M355" s="2">
        <v>202.8</v>
      </c>
      <c r="N355" s="2">
        <v>170.4</v>
      </c>
      <c r="O355" s="2">
        <v>189.5</v>
      </c>
      <c r="P355" s="2">
        <v>178.3</v>
      </c>
      <c r="Q355" s="2">
        <v>196.9</v>
      </c>
      <c r="R355" s="2">
        <v>183.1</v>
      </c>
      <c r="S355" s="2">
        <v>176.2</v>
      </c>
      <c r="T355" s="2">
        <v>182.1</v>
      </c>
      <c r="U355" s="2">
        <v>171.8</v>
      </c>
      <c r="V355" s="2">
        <v>181.3</v>
      </c>
      <c r="W355" s="2">
        <v>171.4</v>
      </c>
      <c r="X355" s="2">
        <v>179.8</v>
      </c>
      <c r="Y355" s="2">
        <v>163</v>
      </c>
      <c r="Z355" s="2">
        <v>168.5</v>
      </c>
      <c r="AA355" s="2">
        <v>173.7</v>
      </c>
      <c r="AB355" s="2">
        <v>173.6</v>
      </c>
      <c r="AC355" s="2">
        <v>171.1</v>
      </c>
      <c r="AD355" s="2">
        <f>AVERAGE(All_India_Index_Upto_April23_CPI_data[[#This Row],[Cereals and products]:[Food and beverages]])</f>
        <v>176.67692307692309</v>
      </c>
      <c r="AE355" s="2">
        <f>AVERAGE(All_India_Index_Upto_April23_CPI_data[[#This Row],[Recreation and amusement]],All_India_Index_Upto_April23_CPI_data[[#This Row],[Pan, tobacco and intoxicants]])</f>
        <v>182.7</v>
      </c>
      <c r="AF355" s="2">
        <f>AVERAGE(All_India_Index_Upto_April23_CPI_data[[#This Row],[Household goods and services]],All_India_Index_Upto_April23_CPI_data[[#This Row],[Housing]])</f>
        <v>171.60000000000002</v>
      </c>
      <c r="AG355" s="2">
        <f>AVERAGE(All_India_Index_Upto_April23_CPI_data[[#This Row],[Personal care and effects]],All_India_Index_Upto_April23_CPI_data[[#This Row],[Health]])</f>
        <v>176.7</v>
      </c>
      <c r="AH355" s="2">
        <f>AVERAGE(All_India_Index_Upto_April23_CPI_data[[#This Row],[Clothing]:[Clothing and footwear]])</f>
        <v>180.46666666666667</v>
      </c>
      <c r="AI355" s="2">
        <v>176.5</v>
      </c>
      <c r="AJ355" s="1">
        <f>(All_India_Index_Upto_April23_CPI_data[[#This Row],[General index]]-AI352)/AI352</f>
        <v>-1.1318619128465684E-3</v>
      </c>
    </row>
    <row r="356" spans="1:36" x14ac:dyDescent="0.25">
      <c r="A356" t="s">
        <v>30</v>
      </c>
      <c r="B356">
        <v>2022</v>
      </c>
      <c r="C356" t="s">
        <v>44</v>
      </c>
      <c r="D356" s="2">
        <v>168.8</v>
      </c>
      <c r="E356" s="2">
        <v>206.9</v>
      </c>
      <c r="F356" s="2">
        <v>189.1</v>
      </c>
      <c r="G356" s="2">
        <v>173.4</v>
      </c>
      <c r="H356" s="2">
        <v>193.9</v>
      </c>
      <c r="I356" s="2">
        <v>156.69999999999999</v>
      </c>
      <c r="J356" s="2">
        <v>150.19999999999999</v>
      </c>
      <c r="K356" s="2">
        <v>170.5</v>
      </c>
      <c r="L356" s="2">
        <v>121.2</v>
      </c>
      <c r="M356" s="2">
        <v>207.5</v>
      </c>
      <c r="N356" s="2">
        <v>176.8</v>
      </c>
      <c r="O356" s="2">
        <v>187.7</v>
      </c>
      <c r="P356" s="2">
        <v>174.4</v>
      </c>
      <c r="Q356" s="2">
        <v>195.9</v>
      </c>
      <c r="R356" s="2">
        <v>188.1</v>
      </c>
      <c r="S356" s="2">
        <v>185.9</v>
      </c>
      <c r="T356" s="2">
        <v>187.8</v>
      </c>
      <c r="U356" s="2">
        <v>0</v>
      </c>
      <c r="V356" s="2">
        <v>182.8</v>
      </c>
      <c r="W356" s="2">
        <v>176.4</v>
      </c>
      <c r="X356" s="2">
        <v>183.5</v>
      </c>
      <c r="Y356" s="2">
        <v>167.8</v>
      </c>
      <c r="Z356" s="2">
        <v>171.2</v>
      </c>
      <c r="AA356" s="2">
        <v>177.3</v>
      </c>
      <c r="AB356" s="2">
        <v>175.7</v>
      </c>
      <c r="AC356" s="2">
        <v>175.5</v>
      </c>
      <c r="AD356" s="2">
        <f>AVERAGE(All_India_Index_Upto_April23_CPI_data[[#This Row],[Cereals and products]:[Food and beverages]])</f>
        <v>175.16153846153844</v>
      </c>
      <c r="AE356" s="2">
        <f>AVERAGE(All_India_Index_Upto_April23_CPI_data[[#This Row],[Recreation and amusement]],All_India_Index_Upto_April23_CPI_data[[#This Row],[Pan, tobacco and intoxicants]])</f>
        <v>183.55</v>
      </c>
      <c r="AF356" s="2">
        <f>AVERAGE(All_India_Index_Upto_April23_CPI_data[[#This Row],[Household goods and services]],All_India_Index_Upto_April23_CPI_data[[#This Row],[Housing]])</f>
        <v>88.2</v>
      </c>
      <c r="AG356" s="2">
        <f>AVERAGE(All_India_Index_Upto_April23_CPI_data[[#This Row],[Personal care and effects]],All_India_Index_Upto_April23_CPI_data[[#This Row],[Health]])</f>
        <v>179.6</v>
      </c>
      <c r="AH356" s="2">
        <f>AVERAGE(All_India_Index_Upto_April23_CPI_data[[#This Row],[Clothing]:[Clothing and footwear]])</f>
        <v>187.26666666666665</v>
      </c>
      <c r="AI356" s="2">
        <v>177.1</v>
      </c>
      <c r="AJ356" s="1">
        <f>(All_India_Index_Upto_April23_CPI_data[[#This Row],[General index]]-AI353)/AI353</f>
        <v>-3.9370078740158434E-3</v>
      </c>
    </row>
    <row r="357" spans="1:36" x14ac:dyDescent="0.25">
      <c r="A357" t="s">
        <v>32</v>
      </c>
      <c r="B357">
        <v>2022</v>
      </c>
      <c r="C357" t="s">
        <v>44</v>
      </c>
      <c r="D357" s="2">
        <v>170.2</v>
      </c>
      <c r="E357" s="2">
        <v>212.9</v>
      </c>
      <c r="F357" s="2">
        <v>191.9</v>
      </c>
      <c r="G357" s="2">
        <v>173.9</v>
      </c>
      <c r="H357" s="2">
        <v>179.1</v>
      </c>
      <c r="I357" s="2">
        <v>159.5</v>
      </c>
      <c r="J357" s="2">
        <v>178.7</v>
      </c>
      <c r="K357" s="2">
        <v>171.3</v>
      </c>
      <c r="L357" s="2">
        <v>123.1</v>
      </c>
      <c r="M357" s="2">
        <v>200.5</v>
      </c>
      <c r="N357" s="2">
        <v>162.80000000000001</v>
      </c>
      <c r="O357" s="2">
        <v>193.3</v>
      </c>
      <c r="P357" s="2">
        <v>178.6</v>
      </c>
      <c r="Q357" s="2">
        <v>201.1</v>
      </c>
      <c r="R357" s="2">
        <v>177.7</v>
      </c>
      <c r="S357" s="2">
        <v>164.5</v>
      </c>
      <c r="T357" s="2">
        <v>175.7</v>
      </c>
      <c r="U357" s="2">
        <v>170.7</v>
      </c>
      <c r="V357" s="2">
        <v>180.6</v>
      </c>
      <c r="W357" s="2">
        <v>167.3</v>
      </c>
      <c r="X357" s="2">
        <v>177.2</v>
      </c>
      <c r="Y357" s="2">
        <v>159.4</v>
      </c>
      <c r="Z357" s="2">
        <v>167.1</v>
      </c>
      <c r="AA357" s="2">
        <v>171.8</v>
      </c>
      <c r="AB357" s="2">
        <v>176</v>
      </c>
      <c r="AC357" s="2">
        <v>168.2</v>
      </c>
      <c r="AD357" s="2">
        <f>AVERAGE(All_India_Index_Upto_April23_CPI_data[[#This Row],[Cereals and products]:[Food and beverages]])</f>
        <v>176.59999999999997</v>
      </c>
      <c r="AE357" s="2">
        <f>AVERAGE(All_India_Index_Upto_April23_CPI_data[[#This Row],[Recreation and amusement]],All_India_Index_Upto_April23_CPI_data[[#This Row],[Pan, tobacco and intoxicants]])</f>
        <v>184.1</v>
      </c>
      <c r="AF357" s="2">
        <f>AVERAGE(All_India_Index_Upto_April23_CPI_data[[#This Row],[Household goods and services]],All_India_Index_Upto_April23_CPI_data[[#This Row],[Housing]])</f>
        <v>169</v>
      </c>
      <c r="AG357" s="2">
        <f>AVERAGE(All_India_Index_Upto_April23_CPI_data[[#This Row],[Personal care and effects]],All_India_Index_Upto_April23_CPI_data[[#This Row],[Health]])</f>
        <v>176.6</v>
      </c>
      <c r="AH357" s="2">
        <f>AVERAGE(All_India_Index_Upto_April23_CPI_data[[#This Row],[Clothing]:[Clothing and footwear]])</f>
        <v>172.63333333333333</v>
      </c>
      <c r="AI357" s="2">
        <v>174.1</v>
      </c>
      <c r="AJ357" s="1">
        <f>(All_India_Index_Upto_April23_CPI_data[[#This Row],[General index]]-AI354)/AI354</f>
        <v>0</v>
      </c>
    </row>
    <row r="358" spans="1:36" x14ac:dyDescent="0.25">
      <c r="A358" t="s">
        <v>33</v>
      </c>
      <c r="B358">
        <v>2022</v>
      </c>
      <c r="C358" t="s">
        <v>44</v>
      </c>
      <c r="D358" s="2">
        <v>169.2</v>
      </c>
      <c r="E358" s="2">
        <v>209</v>
      </c>
      <c r="F358" s="2">
        <v>190.2</v>
      </c>
      <c r="G358" s="2">
        <v>173.6</v>
      </c>
      <c r="H358" s="2">
        <v>188.5</v>
      </c>
      <c r="I358" s="2">
        <v>158</v>
      </c>
      <c r="J358" s="2">
        <v>159.9</v>
      </c>
      <c r="K358" s="2">
        <v>170.8</v>
      </c>
      <c r="L358" s="2">
        <v>121.8</v>
      </c>
      <c r="M358" s="2">
        <v>205.2</v>
      </c>
      <c r="N358" s="2">
        <v>171</v>
      </c>
      <c r="O358" s="2">
        <v>190.3</v>
      </c>
      <c r="P358" s="2">
        <v>175.9</v>
      </c>
      <c r="Q358" s="2">
        <v>197.3</v>
      </c>
      <c r="R358" s="2">
        <v>184</v>
      </c>
      <c r="S358" s="2">
        <v>177</v>
      </c>
      <c r="T358" s="2">
        <v>183</v>
      </c>
      <c r="U358" s="2">
        <v>170.7</v>
      </c>
      <c r="V358" s="2">
        <v>182</v>
      </c>
      <c r="W358" s="2">
        <v>172.1</v>
      </c>
      <c r="X358" s="2">
        <v>181.1</v>
      </c>
      <c r="Y358" s="2">
        <v>163.4</v>
      </c>
      <c r="Z358" s="2">
        <v>168.9</v>
      </c>
      <c r="AA358" s="2">
        <v>174.1</v>
      </c>
      <c r="AB358" s="2">
        <v>175.8</v>
      </c>
      <c r="AC358" s="2">
        <v>172</v>
      </c>
      <c r="AD358" s="2">
        <f>AVERAGE(All_India_Index_Upto_April23_CPI_data[[#This Row],[Cereals and products]:[Food and beverages]])</f>
        <v>175.64615384615385</v>
      </c>
      <c r="AE358" s="2">
        <f>AVERAGE(All_India_Index_Upto_April23_CPI_data[[#This Row],[Recreation and amusement]],All_India_Index_Upto_April23_CPI_data[[#This Row],[Pan, tobacco and intoxicants]])</f>
        <v>183.10000000000002</v>
      </c>
      <c r="AF358" s="2">
        <f>AVERAGE(All_India_Index_Upto_April23_CPI_data[[#This Row],[Household goods and services]],All_India_Index_Upto_April23_CPI_data[[#This Row],[Housing]])</f>
        <v>171.39999999999998</v>
      </c>
      <c r="AG358" s="2">
        <f>AVERAGE(All_India_Index_Upto_April23_CPI_data[[#This Row],[Personal care and effects]],All_India_Index_Upto_April23_CPI_data[[#This Row],[Health]])</f>
        <v>178.45</v>
      </c>
      <c r="AH358" s="2">
        <f>AVERAGE(All_India_Index_Upto_April23_CPI_data[[#This Row],[Clothing]:[Clothing and footwear]])</f>
        <v>181.33333333333334</v>
      </c>
      <c r="AI358" s="2">
        <v>175.7</v>
      </c>
      <c r="AJ358" s="1">
        <f>(All_India_Index_Upto_April23_CPI_data[[#This Row],[General index]]-AI355)/AI355</f>
        <v>-4.5325779036827843E-3</v>
      </c>
    </row>
    <row r="359" spans="1:36" x14ac:dyDescent="0.25">
      <c r="A359" t="s">
        <v>30</v>
      </c>
      <c r="B359">
        <v>2023</v>
      </c>
      <c r="C359" t="s">
        <v>31</v>
      </c>
      <c r="D359" s="2">
        <v>174</v>
      </c>
      <c r="E359" s="2">
        <v>208.3</v>
      </c>
      <c r="F359" s="2">
        <v>192.9</v>
      </c>
      <c r="G359" s="2">
        <v>174.3</v>
      </c>
      <c r="H359" s="2">
        <v>192.6</v>
      </c>
      <c r="I359" s="2">
        <v>156.30000000000001</v>
      </c>
      <c r="J359" s="2">
        <v>142.9</v>
      </c>
      <c r="K359" s="2">
        <v>170.7</v>
      </c>
      <c r="L359" s="2">
        <v>120.3</v>
      </c>
      <c r="M359" s="2">
        <v>210.5</v>
      </c>
      <c r="N359" s="2">
        <v>176.9</v>
      </c>
      <c r="O359" s="2">
        <v>188.5</v>
      </c>
      <c r="P359" s="2">
        <v>175</v>
      </c>
      <c r="Q359" s="2">
        <v>196.9</v>
      </c>
      <c r="R359" s="2">
        <v>189</v>
      </c>
      <c r="S359" s="2">
        <v>186.3</v>
      </c>
      <c r="T359" s="2">
        <v>188.6</v>
      </c>
      <c r="U359" s="2">
        <v>0</v>
      </c>
      <c r="V359" s="2">
        <v>183.2</v>
      </c>
      <c r="W359" s="2">
        <v>177.2</v>
      </c>
      <c r="X359" s="2">
        <v>184.7</v>
      </c>
      <c r="Y359" s="2">
        <v>168.2</v>
      </c>
      <c r="Z359" s="2">
        <v>171.8</v>
      </c>
      <c r="AA359" s="2">
        <v>177.8</v>
      </c>
      <c r="AB359" s="2">
        <v>178.4</v>
      </c>
      <c r="AC359" s="2">
        <v>176.5</v>
      </c>
      <c r="AD359" s="2">
        <f>AVERAGE(All_India_Index_Upto_April23_CPI_data[[#This Row],[Cereals and products]:[Food and beverages]])</f>
        <v>175.63076923076926</v>
      </c>
      <c r="AE359" s="2">
        <f>AVERAGE(All_India_Index_Upto_April23_CPI_data[[#This Row],[Recreation and amusement]],All_India_Index_Upto_April23_CPI_data[[#This Row],[Pan, tobacco and intoxicants]])</f>
        <v>184.35000000000002</v>
      </c>
      <c r="AF359" s="2">
        <f>AVERAGE(All_India_Index_Upto_April23_CPI_data[[#This Row],[Household goods and services]],All_India_Index_Upto_April23_CPI_data[[#This Row],[Housing]])</f>
        <v>88.6</v>
      </c>
      <c r="AG359" s="2">
        <f>AVERAGE(All_India_Index_Upto_April23_CPI_data[[#This Row],[Personal care and effects]],All_India_Index_Upto_April23_CPI_data[[#This Row],[Health]])</f>
        <v>181.55</v>
      </c>
      <c r="AH359" s="2">
        <f>AVERAGE(All_India_Index_Upto_April23_CPI_data[[#This Row],[Clothing]:[Clothing and footwear]])</f>
        <v>187.96666666666667</v>
      </c>
      <c r="AI359" s="2">
        <v>177.8</v>
      </c>
      <c r="AJ359" s="1">
        <f>(All_India_Index_Upto_April23_CPI_data[[#This Row],[General index]]-AI356)/AI356</f>
        <v>3.9525691699605703E-3</v>
      </c>
    </row>
    <row r="360" spans="1:36" x14ac:dyDescent="0.25">
      <c r="A360" t="s">
        <v>32</v>
      </c>
      <c r="B360">
        <v>2023</v>
      </c>
      <c r="C360" t="s">
        <v>31</v>
      </c>
      <c r="D360" s="2">
        <v>173.3</v>
      </c>
      <c r="E360" s="2">
        <v>215.2</v>
      </c>
      <c r="F360" s="2">
        <v>197</v>
      </c>
      <c r="G360" s="2">
        <v>175.2</v>
      </c>
      <c r="H360" s="2">
        <v>178</v>
      </c>
      <c r="I360" s="2">
        <v>160.5</v>
      </c>
      <c r="J360" s="2">
        <v>175.3</v>
      </c>
      <c r="K360" s="2">
        <v>171.2</v>
      </c>
      <c r="L360" s="2">
        <v>122.7</v>
      </c>
      <c r="M360" s="2">
        <v>204.3</v>
      </c>
      <c r="N360" s="2">
        <v>163.69999999999999</v>
      </c>
      <c r="O360" s="2">
        <v>194.3</v>
      </c>
      <c r="P360" s="2">
        <v>179.5</v>
      </c>
      <c r="Q360" s="2">
        <v>201.6</v>
      </c>
      <c r="R360" s="2">
        <v>178.7</v>
      </c>
      <c r="S360" s="2">
        <v>165.3</v>
      </c>
      <c r="T360" s="2">
        <v>176.6</v>
      </c>
      <c r="U360" s="2">
        <v>172.1</v>
      </c>
      <c r="V360" s="2">
        <v>180.1</v>
      </c>
      <c r="W360" s="2">
        <v>168</v>
      </c>
      <c r="X360" s="2">
        <v>178.5</v>
      </c>
      <c r="Y360" s="2">
        <v>159.5</v>
      </c>
      <c r="Z360" s="2">
        <v>167.8</v>
      </c>
      <c r="AA360" s="2">
        <v>171.8</v>
      </c>
      <c r="AB360" s="2">
        <v>178.8</v>
      </c>
      <c r="AC360" s="2">
        <v>168.9</v>
      </c>
      <c r="AD360" s="2">
        <f>AVERAGE(All_India_Index_Upto_April23_CPI_data[[#This Row],[Cereals and products]:[Food and beverages]])</f>
        <v>177.70769230769233</v>
      </c>
      <c r="AE360" s="2">
        <f>AVERAGE(All_India_Index_Upto_April23_CPI_data[[#This Row],[Recreation and amusement]],All_India_Index_Upto_April23_CPI_data[[#This Row],[Pan, tobacco and intoxicants]])</f>
        <v>184.7</v>
      </c>
      <c r="AF360" s="2">
        <f>AVERAGE(All_India_Index_Upto_April23_CPI_data[[#This Row],[Household goods and services]],All_India_Index_Upto_April23_CPI_data[[#This Row],[Housing]])</f>
        <v>170.05</v>
      </c>
      <c r="AG360" s="2">
        <f>AVERAGE(All_India_Index_Upto_April23_CPI_data[[#This Row],[Personal care and effects]],All_India_Index_Upto_April23_CPI_data[[#This Row],[Health]])</f>
        <v>178.65</v>
      </c>
      <c r="AH360" s="2">
        <f>AVERAGE(All_India_Index_Upto_April23_CPI_data[[#This Row],[Clothing]:[Clothing and footwear]])</f>
        <v>173.53333333333333</v>
      </c>
      <c r="AI360" s="2">
        <v>174.9</v>
      </c>
      <c r="AJ360" s="1">
        <f>(All_India_Index_Upto_April23_CPI_data[[#This Row],[General index]]-AI357)/AI357</f>
        <v>4.5950603101666361E-3</v>
      </c>
    </row>
    <row r="361" spans="1:36" x14ac:dyDescent="0.25">
      <c r="A361" t="s">
        <v>33</v>
      </c>
      <c r="B361">
        <v>2023</v>
      </c>
      <c r="C361" t="s">
        <v>31</v>
      </c>
      <c r="D361" s="2">
        <v>173.8</v>
      </c>
      <c r="E361" s="2">
        <v>210.7</v>
      </c>
      <c r="F361" s="2">
        <v>194.5</v>
      </c>
      <c r="G361" s="2">
        <v>174.6</v>
      </c>
      <c r="H361" s="2">
        <v>187.2</v>
      </c>
      <c r="I361" s="2">
        <v>158.30000000000001</v>
      </c>
      <c r="J361" s="2">
        <v>153.9</v>
      </c>
      <c r="K361" s="2">
        <v>170.9</v>
      </c>
      <c r="L361" s="2">
        <v>121.1</v>
      </c>
      <c r="M361" s="2">
        <v>208.4</v>
      </c>
      <c r="N361" s="2">
        <v>171.4</v>
      </c>
      <c r="O361" s="2">
        <v>191.2</v>
      </c>
      <c r="P361" s="2">
        <v>176.7</v>
      </c>
      <c r="Q361" s="2">
        <v>198.2</v>
      </c>
      <c r="R361" s="2">
        <v>184.9</v>
      </c>
      <c r="S361" s="2">
        <v>177.6</v>
      </c>
      <c r="T361" s="2">
        <v>183.8</v>
      </c>
      <c r="U361" s="2">
        <v>172.1</v>
      </c>
      <c r="V361" s="2">
        <v>182</v>
      </c>
      <c r="W361" s="2">
        <v>172.9</v>
      </c>
      <c r="X361" s="2">
        <v>182.3</v>
      </c>
      <c r="Y361" s="2">
        <v>163.6</v>
      </c>
      <c r="Z361" s="2">
        <v>169.5</v>
      </c>
      <c r="AA361" s="2">
        <v>174.3</v>
      </c>
      <c r="AB361" s="2">
        <v>178.6</v>
      </c>
      <c r="AC361" s="2">
        <v>172.8</v>
      </c>
      <c r="AD361" s="2">
        <f>AVERAGE(All_India_Index_Upto_April23_CPI_data[[#This Row],[Cereals and products]:[Food and beverages]])</f>
        <v>176.36153846153846</v>
      </c>
      <c r="AE361" s="2">
        <f>AVERAGE(All_India_Index_Upto_April23_CPI_data[[#This Row],[Recreation and amusement]],All_India_Index_Upto_April23_CPI_data[[#This Row],[Pan, tobacco and intoxicants]])</f>
        <v>183.85</v>
      </c>
      <c r="AF361" s="2">
        <f>AVERAGE(All_India_Index_Upto_April23_CPI_data[[#This Row],[Household goods and services]],All_India_Index_Upto_April23_CPI_data[[#This Row],[Housing]])</f>
        <v>172.5</v>
      </c>
      <c r="AG361" s="2">
        <f>AVERAGE(All_India_Index_Upto_April23_CPI_data[[#This Row],[Personal care and effects]],All_India_Index_Upto_April23_CPI_data[[#This Row],[Health]])</f>
        <v>180.45</v>
      </c>
      <c r="AH361" s="2">
        <f>AVERAGE(All_India_Index_Upto_April23_CPI_data[[#This Row],[Clothing]:[Clothing and footwear]])</f>
        <v>182.1</v>
      </c>
      <c r="AI361" s="2">
        <v>176.5</v>
      </c>
      <c r="AJ361" s="1">
        <f>(All_India_Index_Upto_April23_CPI_data[[#This Row],[General index]]-AI358)/AI358</f>
        <v>4.5532157085942599E-3</v>
      </c>
    </row>
    <row r="362" spans="1:36" x14ac:dyDescent="0.25">
      <c r="A362" t="s">
        <v>30</v>
      </c>
      <c r="B362">
        <v>2023</v>
      </c>
      <c r="C362" t="s">
        <v>34</v>
      </c>
      <c r="D362" s="2">
        <v>174.2</v>
      </c>
      <c r="E362" s="2">
        <v>205.2</v>
      </c>
      <c r="F362" s="2">
        <v>173.9</v>
      </c>
      <c r="G362" s="2">
        <v>177</v>
      </c>
      <c r="H362" s="2">
        <v>183.4</v>
      </c>
      <c r="I362" s="2">
        <v>167.2</v>
      </c>
      <c r="J362" s="2">
        <v>140.9</v>
      </c>
      <c r="K362" s="2">
        <v>170.4</v>
      </c>
      <c r="L362" s="2">
        <v>119.1</v>
      </c>
      <c r="M362" s="2">
        <v>212.1</v>
      </c>
      <c r="N362" s="2">
        <v>177.6</v>
      </c>
      <c r="O362" s="2">
        <v>189.9</v>
      </c>
      <c r="P362" s="2">
        <v>174.8</v>
      </c>
      <c r="Q362" s="2">
        <v>198.3</v>
      </c>
      <c r="R362" s="2">
        <v>190</v>
      </c>
      <c r="S362" s="2">
        <v>187</v>
      </c>
      <c r="T362" s="2">
        <v>189.6</v>
      </c>
      <c r="U362" s="2">
        <v>0</v>
      </c>
      <c r="V362" s="2">
        <v>181.6</v>
      </c>
      <c r="W362" s="2">
        <v>178.6</v>
      </c>
      <c r="X362" s="2">
        <v>186.6</v>
      </c>
      <c r="Y362" s="2">
        <v>169</v>
      </c>
      <c r="Z362" s="2">
        <v>172.8</v>
      </c>
      <c r="AA362" s="2">
        <v>178.5</v>
      </c>
      <c r="AB362" s="2">
        <v>180.7</v>
      </c>
      <c r="AC362" s="2">
        <v>177.9</v>
      </c>
      <c r="AD362" s="2">
        <f>AVERAGE(All_India_Index_Upto_April23_CPI_data[[#This Row],[Cereals and products]:[Food and beverages]])</f>
        <v>174.28461538461536</v>
      </c>
      <c r="AE362" s="2">
        <f>AVERAGE(All_India_Index_Upto_April23_CPI_data[[#This Row],[Recreation and amusement]],All_India_Index_Upto_April23_CPI_data[[#This Row],[Pan, tobacco and intoxicants]])</f>
        <v>185.55</v>
      </c>
      <c r="AF362" s="2">
        <f>AVERAGE(All_India_Index_Upto_April23_CPI_data[[#This Row],[Household goods and services]],All_India_Index_Upto_April23_CPI_data[[#This Row],[Housing]])</f>
        <v>89.3</v>
      </c>
      <c r="AG362" s="2">
        <f>AVERAGE(All_India_Index_Upto_April23_CPI_data[[#This Row],[Personal care and effects]],All_India_Index_Upto_April23_CPI_data[[#This Row],[Health]])</f>
        <v>183.64999999999998</v>
      </c>
      <c r="AH362" s="2">
        <f>AVERAGE(All_India_Index_Upto_April23_CPI_data[[#This Row],[Clothing]:[Clothing and footwear]])</f>
        <v>188.86666666666667</v>
      </c>
      <c r="AI362" s="2">
        <v>178</v>
      </c>
      <c r="AJ362" s="1">
        <f>(All_India_Index_Upto_April23_CPI_data[[#This Row],[General index]]-AI359)/AI359</f>
        <v>1.1248593925758639E-3</v>
      </c>
    </row>
    <row r="363" spans="1:36" x14ac:dyDescent="0.25">
      <c r="A363" t="s">
        <v>32</v>
      </c>
      <c r="B363">
        <v>2023</v>
      </c>
      <c r="C363" t="s">
        <v>34</v>
      </c>
      <c r="D363" s="2">
        <v>174.7</v>
      </c>
      <c r="E363" s="2">
        <v>212.2</v>
      </c>
      <c r="F363" s="2">
        <v>177.2</v>
      </c>
      <c r="G363" s="2">
        <v>177.9</v>
      </c>
      <c r="H363" s="2">
        <v>172.2</v>
      </c>
      <c r="I363" s="2">
        <v>172.1</v>
      </c>
      <c r="J363" s="2">
        <v>175.8</v>
      </c>
      <c r="K363" s="2">
        <v>172.2</v>
      </c>
      <c r="L363" s="2">
        <v>121.9</v>
      </c>
      <c r="M363" s="2">
        <v>204.8</v>
      </c>
      <c r="N363" s="2">
        <v>164.9</v>
      </c>
      <c r="O363" s="2">
        <v>196.6</v>
      </c>
      <c r="P363" s="2">
        <v>180.7</v>
      </c>
      <c r="Q363" s="2">
        <v>202.7</v>
      </c>
      <c r="R363" s="2">
        <v>180.3</v>
      </c>
      <c r="S363" s="2">
        <v>167</v>
      </c>
      <c r="T363" s="2">
        <v>178.2</v>
      </c>
      <c r="U363" s="2">
        <v>173.5</v>
      </c>
      <c r="V363" s="2">
        <v>182.8</v>
      </c>
      <c r="W363" s="2">
        <v>169.2</v>
      </c>
      <c r="X363" s="2">
        <v>180.8</v>
      </c>
      <c r="Y363" s="2">
        <v>159.80000000000001</v>
      </c>
      <c r="Z363" s="2">
        <v>168.4</v>
      </c>
      <c r="AA363" s="2">
        <v>172.5</v>
      </c>
      <c r="AB363" s="2">
        <v>181.4</v>
      </c>
      <c r="AC363" s="2">
        <v>170</v>
      </c>
      <c r="AD363" s="2">
        <f>AVERAGE(All_India_Index_Upto_April23_CPI_data[[#This Row],[Cereals and products]:[Food and beverages]])</f>
        <v>177.16923076923075</v>
      </c>
      <c r="AE363" s="2">
        <f>AVERAGE(All_India_Index_Upto_April23_CPI_data[[#This Row],[Recreation and amusement]],All_India_Index_Upto_April23_CPI_data[[#This Row],[Pan, tobacco and intoxicants]])</f>
        <v>185.55</v>
      </c>
      <c r="AF363" s="2">
        <f>AVERAGE(All_India_Index_Upto_April23_CPI_data[[#This Row],[Household goods and services]],All_India_Index_Upto_April23_CPI_data[[#This Row],[Housing]])</f>
        <v>171.35</v>
      </c>
      <c r="AG363" s="2">
        <f>AVERAGE(All_India_Index_Upto_April23_CPI_data[[#This Row],[Personal care and effects]],All_India_Index_Upto_April23_CPI_data[[#This Row],[Health]])</f>
        <v>181.10000000000002</v>
      </c>
      <c r="AH363" s="2">
        <f>AVERAGE(All_India_Index_Upto_April23_CPI_data[[#This Row],[Clothing]:[Clothing and footwear]])</f>
        <v>175.16666666666666</v>
      </c>
      <c r="AI363" s="2">
        <v>176.3</v>
      </c>
      <c r="AJ363" s="1">
        <f>(All_India_Index_Upto_April23_CPI_data[[#This Row],[General index]]-AI360)/AI360</f>
        <v>8.0045740423099233E-3</v>
      </c>
    </row>
    <row r="364" spans="1:36" x14ac:dyDescent="0.25">
      <c r="A364" t="s">
        <v>33</v>
      </c>
      <c r="B364">
        <v>2023</v>
      </c>
      <c r="C364" t="s">
        <v>34</v>
      </c>
      <c r="D364" s="2">
        <v>174.4</v>
      </c>
      <c r="E364" s="2">
        <v>207.7</v>
      </c>
      <c r="F364" s="2">
        <v>175.2</v>
      </c>
      <c r="G364" s="2">
        <v>177.3</v>
      </c>
      <c r="H364" s="2">
        <v>179.3</v>
      </c>
      <c r="I364" s="2">
        <v>169.5</v>
      </c>
      <c r="J364" s="2">
        <v>152.69999999999999</v>
      </c>
      <c r="K364" s="2">
        <v>171</v>
      </c>
      <c r="L364" s="2">
        <v>120</v>
      </c>
      <c r="M364" s="2">
        <v>209.7</v>
      </c>
      <c r="N364" s="2">
        <v>172.3</v>
      </c>
      <c r="O364" s="2">
        <v>193</v>
      </c>
      <c r="P364" s="2">
        <v>177</v>
      </c>
      <c r="Q364" s="2">
        <v>199.5</v>
      </c>
      <c r="R364" s="2">
        <v>186.2</v>
      </c>
      <c r="S364" s="2">
        <v>178.7</v>
      </c>
      <c r="T364" s="2">
        <v>185.1</v>
      </c>
      <c r="U364" s="2">
        <v>173.5</v>
      </c>
      <c r="V364" s="2">
        <v>182.1</v>
      </c>
      <c r="W364" s="2">
        <v>174.2</v>
      </c>
      <c r="X364" s="2">
        <v>184.4</v>
      </c>
      <c r="Y364" s="2">
        <v>164.2</v>
      </c>
      <c r="Z364" s="2">
        <v>170.3</v>
      </c>
      <c r="AA364" s="2">
        <v>175</v>
      </c>
      <c r="AB364" s="2">
        <v>181</v>
      </c>
      <c r="AC364" s="2">
        <v>174.1</v>
      </c>
      <c r="AD364" s="2">
        <f>AVERAGE(All_India_Index_Upto_April23_CPI_data[[#This Row],[Cereals and products]:[Food and beverages]])</f>
        <v>175.3153846153846</v>
      </c>
      <c r="AE364" s="2">
        <f>AVERAGE(All_India_Index_Upto_April23_CPI_data[[#This Row],[Recreation and amusement]],All_India_Index_Upto_April23_CPI_data[[#This Row],[Pan, tobacco and intoxicants]])</f>
        <v>184.9</v>
      </c>
      <c r="AF364" s="2">
        <f>AVERAGE(All_India_Index_Upto_April23_CPI_data[[#This Row],[Household goods and services]],All_India_Index_Upto_April23_CPI_data[[#This Row],[Housing]])</f>
        <v>173.85</v>
      </c>
      <c r="AG364" s="2">
        <f>AVERAGE(All_India_Index_Upto_April23_CPI_data[[#This Row],[Personal care and effects]],All_India_Index_Upto_April23_CPI_data[[#This Row],[Health]])</f>
        <v>182.7</v>
      </c>
      <c r="AH364" s="2">
        <f>AVERAGE(All_India_Index_Upto_April23_CPI_data[[#This Row],[Clothing]:[Clothing and footwear]])</f>
        <v>183.33333333333334</v>
      </c>
      <c r="AI364" s="2">
        <v>177.2</v>
      </c>
      <c r="AJ364" s="1">
        <f>(All_India_Index_Upto_April23_CPI_data[[#This Row],[General index]]-AI361)/AI361</f>
        <v>3.9660056657223148E-3</v>
      </c>
    </row>
    <row r="365" spans="1:36" x14ac:dyDescent="0.25">
      <c r="A365" t="s">
        <v>30</v>
      </c>
      <c r="B365">
        <v>2023</v>
      </c>
      <c r="C365" t="s">
        <v>35</v>
      </c>
      <c r="D365" s="2">
        <v>174.3</v>
      </c>
      <c r="E365" s="2">
        <v>205.2</v>
      </c>
      <c r="F365" s="2">
        <v>173.9</v>
      </c>
      <c r="G365" s="2">
        <v>177</v>
      </c>
      <c r="H365" s="2">
        <v>183.3</v>
      </c>
      <c r="I365" s="2">
        <v>167.2</v>
      </c>
      <c r="J365" s="2">
        <v>140.9</v>
      </c>
      <c r="K365" s="2">
        <v>170.5</v>
      </c>
      <c r="L365" s="2">
        <v>119.1</v>
      </c>
      <c r="M365" s="2">
        <v>212.1</v>
      </c>
      <c r="N365" s="2">
        <v>177.6</v>
      </c>
      <c r="O365" s="2">
        <v>189.9</v>
      </c>
      <c r="P365" s="2">
        <v>174.8</v>
      </c>
      <c r="Q365" s="2">
        <v>198.4</v>
      </c>
      <c r="R365" s="2">
        <v>190</v>
      </c>
      <c r="S365" s="2">
        <v>187</v>
      </c>
      <c r="T365" s="2">
        <v>189.6</v>
      </c>
      <c r="U365" s="2">
        <v>0</v>
      </c>
      <c r="V365" s="2">
        <v>181.4</v>
      </c>
      <c r="W365" s="2">
        <v>178.6</v>
      </c>
      <c r="X365" s="2">
        <v>186.6</v>
      </c>
      <c r="Y365" s="2">
        <v>169</v>
      </c>
      <c r="Z365" s="2">
        <v>172.8</v>
      </c>
      <c r="AA365" s="2">
        <v>178.5</v>
      </c>
      <c r="AB365" s="2">
        <v>180.7</v>
      </c>
      <c r="AC365" s="2">
        <v>177.9</v>
      </c>
      <c r="AD365" s="2">
        <f>AVERAGE(All_India_Index_Upto_April23_CPI_data[[#This Row],[Cereals and products]:[Food and beverages]])</f>
        <v>174.2923076923077</v>
      </c>
      <c r="AE365" s="2">
        <f>AVERAGE(All_India_Index_Upto_April23_CPI_data[[#This Row],[Recreation and amusement]],All_India_Index_Upto_April23_CPI_data[[#This Row],[Pan, tobacco and intoxicants]])</f>
        <v>185.60000000000002</v>
      </c>
      <c r="AF365" s="2">
        <f>AVERAGE(All_India_Index_Upto_April23_CPI_data[[#This Row],[Household goods and services]],All_India_Index_Upto_April23_CPI_data[[#This Row],[Housing]])</f>
        <v>89.3</v>
      </c>
      <c r="AG365" s="2">
        <f>AVERAGE(All_India_Index_Upto_April23_CPI_data[[#This Row],[Personal care and effects]],All_India_Index_Upto_April23_CPI_data[[#This Row],[Health]])</f>
        <v>183.64999999999998</v>
      </c>
      <c r="AH365" s="2">
        <f>AVERAGE(All_India_Index_Upto_April23_CPI_data[[#This Row],[Clothing]:[Clothing and footwear]])</f>
        <v>188.86666666666667</v>
      </c>
      <c r="AI365" s="2">
        <v>178</v>
      </c>
      <c r="AJ365" s="1">
        <f>(All_India_Index_Upto_April23_CPI_data[[#This Row],[General index]]-AI362)/AI362</f>
        <v>0</v>
      </c>
    </row>
    <row r="366" spans="1:36" x14ac:dyDescent="0.25">
      <c r="A366" t="s">
        <v>32</v>
      </c>
      <c r="B366">
        <v>2023</v>
      </c>
      <c r="C366" t="s">
        <v>35</v>
      </c>
      <c r="D366" s="2">
        <v>174.7</v>
      </c>
      <c r="E366" s="2">
        <v>212.2</v>
      </c>
      <c r="F366" s="2">
        <v>177.2</v>
      </c>
      <c r="G366" s="2">
        <v>177.9</v>
      </c>
      <c r="H366" s="2">
        <v>172.2</v>
      </c>
      <c r="I366" s="2">
        <v>172.1</v>
      </c>
      <c r="J366" s="2">
        <v>175.9</v>
      </c>
      <c r="K366" s="2">
        <v>172.2</v>
      </c>
      <c r="L366" s="2">
        <v>121.9</v>
      </c>
      <c r="M366" s="2">
        <v>204.8</v>
      </c>
      <c r="N366" s="2">
        <v>164.9</v>
      </c>
      <c r="O366" s="2">
        <v>196.6</v>
      </c>
      <c r="P366" s="2">
        <v>180.8</v>
      </c>
      <c r="Q366" s="2">
        <v>202.7</v>
      </c>
      <c r="R366" s="2">
        <v>180.2</v>
      </c>
      <c r="S366" s="2">
        <v>167</v>
      </c>
      <c r="T366" s="2">
        <v>178.2</v>
      </c>
      <c r="U366" s="2">
        <v>173.5</v>
      </c>
      <c r="V366" s="2">
        <v>182.6</v>
      </c>
      <c r="W366" s="2">
        <v>169.2</v>
      </c>
      <c r="X366" s="2">
        <v>180.8</v>
      </c>
      <c r="Y366" s="2">
        <v>159.80000000000001</v>
      </c>
      <c r="Z366" s="2">
        <v>168.4</v>
      </c>
      <c r="AA366" s="2">
        <v>172.5</v>
      </c>
      <c r="AB366" s="2">
        <v>181.5</v>
      </c>
      <c r="AC366" s="2">
        <v>170</v>
      </c>
      <c r="AD366" s="2">
        <f>AVERAGE(All_India_Index_Upto_April23_CPI_data[[#This Row],[Cereals and products]:[Food and beverages]])</f>
        <v>177.1846153846154</v>
      </c>
      <c r="AE366" s="2">
        <f>AVERAGE(All_India_Index_Upto_April23_CPI_data[[#This Row],[Recreation and amusement]],All_India_Index_Upto_April23_CPI_data[[#This Row],[Pan, tobacco and intoxicants]])</f>
        <v>185.55</v>
      </c>
      <c r="AF366" s="2">
        <f>AVERAGE(All_India_Index_Upto_April23_CPI_data[[#This Row],[Household goods and services]],All_India_Index_Upto_April23_CPI_data[[#This Row],[Housing]])</f>
        <v>171.35</v>
      </c>
      <c r="AG366" s="2">
        <f>AVERAGE(All_India_Index_Upto_April23_CPI_data[[#This Row],[Personal care and effects]],All_India_Index_Upto_April23_CPI_data[[#This Row],[Health]])</f>
        <v>181.15</v>
      </c>
      <c r="AH366" s="2">
        <f>AVERAGE(All_India_Index_Upto_April23_CPI_data[[#This Row],[Clothing]:[Clothing and footwear]])</f>
        <v>175.13333333333333</v>
      </c>
      <c r="AI366" s="2">
        <v>176.3</v>
      </c>
      <c r="AJ366" s="1">
        <f>(All_India_Index_Upto_April23_CPI_data[[#This Row],[General index]]-AI363)/AI363</f>
        <v>0</v>
      </c>
    </row>
    <row r="367" spans="1:36" x14ac:dyDescent="0.25">
      <c r="A367" t="s">
        <v>33</v>
      </c>
      <c r="B367">
        <v>2023</v>
      </c>
      <c r="C367" t="s">
        <v>35</v>
      </c>
      <c r="D367" s="2">
        <v>174.4</v>
      </c>
      <c r="E367" s="2">
        <v>207.7</v>
      </c>
      <c r="F367" s="2">
        <v>175.2</v>
      </c>
      <c r="G367" s="2">
        <v>177.3</v>
      </c>
      <c r="H367" s="2">
        <v>179.2</v>
      </c>
      <c r="I367" s="2">
        <v>169.5</v>
      </c>
      <c r="J367" s="2">
        <v>152.80000000000001</v>
      </c>
      <c r="K367" s="2">
        <v>171.1</v>
      </c>
      <c r="L367" s="2">
        <v>120</v>
      </c>
      <c r="M367" s="2">
        <v>209.7</v>
      </c>
      <c r="N367" s="2">
        <v>172.3</v>
      </c>
      <c r="O367" s="2">
        <v>193</v>
      </c>
      <c r="P367" s="2">
        <v>177</v>
      </c>
      <c r="Q367" s="2">
        <v>199.5</v>
      </c>
      <c r="R367" s="2">
        <v>186.1</v>
      </c>
      <c r="S367" s="2">
        <v>178.7</v>
      </c>
      <c r="T367" s="2">
        <v>185.1</v>
      </c>
      <c r="U367" s="2">
        <v>173.5</v>
      </c>
      <c r="V367" s="2">
        <v>181.9</v>
      </c>
      <c r="W367" s="2">
        <v>174.2</v>
      </c>
      <c r="X367" s="2">
        <v>184.4</v>
      </c>
      <c r="Y367" s="2">
        <v>164.2</v>
      </c>
      <c r="Z367" s="2">
        <v>170.3</v>
      </c>
      <c r="AA367" s="2">
        <v>175</v>
      </c>
      <c r="AB367" s="2">
        <v>181</v>
      </c>
      <c r="AC367" s="2">
        <v>174.1</v>
      </c>
      <c r="AD367" s="2">
        <f>AVERAGE(All_India_Index_Upto_April23_CPI_data[[#This Row],[Cereals and products]:[Food and beverages]])</f>
        <v>175.32307692307691</v>
      </c>
      <c r="AE367" s="2">
        <f>AVERAGE(All_India_Index_Upto_April23_CPI_data[[#This Row],[Recreation and amusement]],All_India_Index_Upto_April23_CPI_data[[#This Row],[Pan, tobacco and intoxicants]])</f>
        <v>184.9</v>
      </c>
      <c r="AF367" s="2">
        <f>AVERAGE(All_India_Index_Upto_April23_CPI_data[[#This Row],[Household goods and services]],All_India_Index_Upto_April23_CPI_data[[#This Row],[Housing]])</f>
        <v>173.85</v>
      </c>
      <c r="AG367" s="2">
        <f>AVERAGE(All_India_Index_Upto_April23_CPI_data[[#This Row],[Personal care and effects]],All_India_Index_Upto_April23_CPI_data[[#This Row],[Health]])</f>
        <v>182.7</v>
      </c>
      <c r="AH367" s="2">
        <f>AVERAGE(All_India_Index_Upto_April23_CPI_data[[#This Row],[Clothing]:[Clothing and footwear]])</f>
        <v>183.29999999999998</v>
      </c>
      <c r="AI367" s="2">
        <v>177.2</v>
      </c>
      <c r="AJ367" s="1">
        <f>(All_India_Index_Upto_April23_CPI_data[[#This Row],[General index]]-AI364)/AI364</f>
        <v>0</v>
      </c>
    </row>
    <row r="368" spans="1:36" x14ac:dyDescent="0.25">
      <c r="A368" t="s">
        <v>30</v>
      </c>
      <c r="B368">
        <v>2023</v>
      </c>
      <c r="C368" t="s">
        <v>36</v>
      </c>
      <c r="D368" s="2">
        <v>173.3</v>
      </c>
      <c r="E368" s="2">
        <v>206.9</v>
      </c>
      <c r="F368" s="2">
        <v>167.9</v>
      </c>
      <c r="G368" s="2">
        <v>178.2</v>
      </c>
      <c r="H368" s="2">
        <v>178.5</v>
      </c>
      <c r="I368" s="2">
        <v>173.7</v>
      </c>
      <c r="J368" s="2">
        <v>142.80000000000001</v>
      </c>
      <c r="K368" s="2">
        <v>172.8</v>
      </c>
      <c r="L368" s="2">
        <v>120.4</v>
      </c>
      <c r="M368" s="2">
        <v>215.5</v>
      </c>
      <c r="N368" s="2">
        <v>178.2</v>
      </c>
      <c r="O368" s="2">
        <v>190.5</v>
      </c>
      <c r="P368" s="2">
        <v>175.5</v>
      </c>
      <c r="Q368" s="2">
        <v>199.5</v>
      </c>
      <c r="R368" s="2">
        <v>190.7</v>
      </c>
      <c r="S368" s="2">
        <v>187.3</v>
      </c>
      <c r="T368" s="2">
        <v>190.2</v>
      </c>
      <c r="U368" s="2">
        <v>0</v>
      </c>
      <c r="V368" s="2">
        <v>181.5</v>
      </c>
      <c r="W368" s="2">
        <v>179.1</v>
      </c>
      <c r="X368" s="2">
        <v>187.2</v>
      </c>
      <c r="Y368" s="2">
        <v>169.4</v>
      </c>
      <c r="Z368" s="2">
        <v>173.2</v>
      </c>
      <c r="AA368" s="2">
        <v>179.4</v>
      </c>
      <c r="AB368" s="2">
        <v>183.8</v>
      </c>
      <c r="AC368" s="2">
        <v>178.9</v>
      </c>
      <c r="AD368" s="2">
        <f>AVERAGE(All_India_Index_Upto_April23_CPI_data[[#This Row],[Cereals and products]:[Food and beverages]])</f>
        <v>174.93846153846152</v>
      </c>
      <c r="AE368" s="2">
        <f>AVERAGE(All_India_Index_Upto_April23_CPI_data[[#This Row],[Recreation and amusement]],All_India_Index_Upto_April23_CPI_data[[#This Row],[Pan, tobacco and intoxicants]])</f>
        <v>186.35</v>
      </c>
      <c r="AF368" s="2">
        <f>AVERAGE(All_India_Index_Upto_April23_CPI_data[[#This Row],[Household goods and services]],All_India_Index_Upto_April23_CPI_data[[#This Row],[Housing]])</f>
        <v>89.55</v>
      </c>
      <c r="AG368" s="2">
        <f>AVERAGE(All_India_Index_Upto_April23_CPI_data[[#This Row],[Personal care and effects]],All_India_Index_Upto_April23_CPI_data[[#This Row],[Health]])</f>
        <v>185.5</v>
      </c>
      <c r="AH368" s="2">
        <f>AVERAGE(All_India_Index_Upto_April23_CPI_data[[#This Row],[Clothing]:[Clothing and footwear]])</f>
        <v>189.4</v>
      </c>
      <c r="AI368" s="2">
        <v>178.8</v>
      </c>
      <c r="AJ368" s="1">
        <f>(All_India_Index_Upto_April23_CPI_data[[#This Row],[General index]]-AI365)/AI365</f>
        <v>4.4943820224719738E-3</v>
      </c>
    </row>
    <row r="369" spans="1:36" x14ac:dyDescent="0.25">
      <c r="A369" t="s">
        <v>32</v>
      </c>
      <c r="B369">
        <v>2023</v>
      </c>
      <c r="C369" t="s">
        <v>36</v>
      </c>
      <c r="D369" s="2">
        <v>174.8</v>
      </c>
      <c r="E369" s="2">
        <v>213.7</v>
      </c>
      <c r="F369" s="2">
        <v>172.4</v>
      </c>
      <c r="G369" s="2">
        <v>178.8</v>
      </c>
      <c r="H369" s="2">
        <v>168.7</v>
      </c>
      <c r="I369" s="2">
        <v>179.2</v>
      </c>
      <c r="J369" s="2">
        <v>179.9</v>
      </c>
      <c r="K369" s="2">
        <v>174.7</v>
      </c>
      <c r="L369" s="2">
        <v>123.1</v>
      </c>
      <c r="M369" s="2">
        <v>207.8</v>
      </c>
      <c r="N369" s="2">
        <v>165.5</v>
      </c>
      <c r="O369" s="2">
        <v>197</v>
      </c>
      <c r="P369" s="2">
        <v>182.1</v>
      </c>
      <c r="Q369" s="2">
        <v>203.5</v>
      </c>
      <c r="R369" s="2">
        <v>181</v>
      </c>
      <c r="S369" s="2">
        <v>167.7</v>
      </c>
      <c r="T369" s="2">
        <v>178.9</v>
      </c>
      <c r="U369" s="2">
        <v>175.2</v>
      </c>
      <c r="V369" s="2">
        <v>182.1</v>
      </c>
      <c r="W369" s="2">
        <v>169.6</v>
      </c>
      <c r="X369" s="2">
        <v>181.5</v>
      </c>
      <c r="Y369" s="2">
        <v>160.1</v>
      </c>
      <c r="Z369" s="2">
        <v>168.8</v>
      </c>
      <c r="AA369" s="2">
        <v>174.2</v>
      </c>
      <c r="AB369" s="2">
        <v>184.4</v>
      </c>
      <c r="AC369" s="2">
        <v>170.9</v>
      </c>
      <c r="AD369" s="2">
        <f>AVERAGE(All_India_Index_Upto_April23_CPI_data[[#This Row],[Cereals and products]:[Food and beverages]])</f>
        <v>178.28461538461539</v>
      </c>
      <c r="AE369" s="2">
        <f>AVERAGE(All_India_Index_Upto_April23_CPI_data[[#This Row],[Recreation and amusement]],All_India_Index_Upto_April23_CPI_data[[#This Row],[Pan, tobacco and intoxicants]])</f>
        <v>186.15</v>
      </c>
      <c r="AF369" s="2">
        <f>AVERAGE(All_India_Index_Upto_April23_CPI_data[[#This Row],[Household goods and services]],All_India_Index_Upto_April23_CPI_data[[#This Row],[Housing]])</f>
        <v>172.39999999999998</v>
      </c>
      <c r="AG369" s="2">
        <f>AVERAGE(All_India_Index_Upto_April23_CPI_data[[#This Row],[Personal care and effects]],All_India_Index_Upto_April23_CPI_data[[#This Row],[Health]])</f>
        <v>182.95</v>
      </c>
      <c r="AH369" s="2">
        <f>AVERAGE(All_India_Index_Upto_April23_CPI_data[[#This Row],[Clothing]:[Clothing and footwear]])</f>
        <v>175.86666666666667</v>
      </c>
      <c r="AI369" s="2">
        <v>177.4</v>
      </c>
      <c r="AJ369" s="1">
        <f>(All_India_Index_Upto_April23_CPI_data[[#This Row],[General index]]-AI366)/AI366</f>
        <v>6.239364719228555E-3</v>
      </c>
    </row>
    <row r="370" spans="1:36" x14ac:dyDescent="0.25">
      <c r="A370" t="s">
        <v>33</v>
      </c>
      <c r="B370">
        <v>2023</v>
      </c>
      <c r="C370" t="s">
        <v>36</v>
      </c>
      <c r="D370" s="2">
        <v>173.8</v>
      </c>
      <c r="E370" s="2">
        <v>209.3</v>
      </c>
      <c r="F370" s="2">
        <v>169.6</v>
      </c>
      <c r="G370" s="2">
        <v>178.4</v>
      </c>
      <c r="H370" s="2">
        <v>174.9</v>
      </c>
      <c r="I370" s="2">
        <v>176.3</v>
      </c>
      <c r="J370" s="2">
        <v>155.4</v>
      </c>
      <c r="K370" s="2">
        <v>173.4</v>
      </c>
      <c r="L370" s="2">
        <v>121.3</v>
      </c>
      <c r="M370" s="2">
        <v>212.9</v>
      </c>
      <c r="N370" s="2">
        <v>172.9</v>
      </c>
      <c r="O370" s="2">
        <v>193.5</v>
      </c>
      <c r="P370" s="2">
        <v>177.9</v>
      </c>
      <c r="Q370" s="2">
        <v>200.6</v>
      </c>
      <c r="R370" s="2">
        <v>186.9</v>
      </c>
      <c r="S370" s="2">
        <v>179.2</v>
      </c>
      <c r="T370" s="2">
        <v>185.7</v>
      </c>
      <c r="U370" s="2">
        <v>175.2</v>
      </c>
      <c r="V370" s="2">
        <v>181.7</v>
      </c>
      <c r="W370" s="2">
        <v>174.6</v>
      </c>
      <c r="X370" s="2">
        <v>185</v>
      </c>
      <c r="Y370" s="2">
        <v>164.5</v>
      </c>
      <c r="Z370" s="2">
        <v>170.7</v>
      </c>
      <c r="AA370" s="2">
        <v>176.4</v>
      </c>
      <c r="AB370" s="2">
        <v>184</v>
      </c>
      <c r="AC370" s="2">
        <v>175</v>
      </c>
      <c r="AD370" s="2">
        <f>AVERAGE(All_India_Index_Upto_April23_CPI_data[[#This Row],[Cereals and products]:[Food and beverages]])</f>
        <v>176.12307692307695</v>
      </c>
      <c r="AE370" s="2">
        <f>AVERAGE(All_India_Index_Upto_April23_CPI_data[[#This Row],[Recreation and amusement]],All_India_Index_Upto_April23_CPI_data[[#This Row],[Pan, tobacco and intoxicants]])</f>
        <v>185.64999999999998</v>
      </c>
      <c r="AF370" s="2">
        <f>AVERAGE(All_India_Index_Upto_April23_CPI_data[[#This Row],[Household goods and services]],All_India_Index_Upto_April23_CPI_data[[#This Row],[Housing]])</f>
        <v>174.89999999999998</v>
      </c>
      <c r="AG370" s="2">
        <f>AVERAGE(All_India_Index_Upto_April23_CPI_data[[#This Row],[Personal care and effects]],All_India_Index_Upto_April23_CPI_data[[#This Row],[Health]])</f>
        <v>184.5</v>
      </c>
      <c r="AH370" s="2">
        <f>AVERAGE(All_India_Index_Upto_April23_CPI_data[[#This Row],[Clothing]:[Clothing and footwear]])</f>
        <v>183.93333333333331</v>
      </c>
      <c r="AI370" s="2">
        <v>178.1</v>
      </c>
      <c r="AJ370" s="1">
        <f>(All_India_Index_Upto_April23_CPI_data[[#This Row],[General index]]-AI367)/AI367</f>
        <v>5.0790067720090613E-3</v>
      </c>
    </row>
    <row r="371" spans="1:36" x14ac:dyDescent="0.25">
      <c r="A371" t="s">
        <v>30</v>
      </c>
      <c r="B371">
        <v>2023</v>
      </c>
      <c r="C371" t="s">
        <v>37</v>
      </c>
      <c r="D371" s="2">
        <v>173.2</v>
      </c>
      <c r="E371" s="2">
        <v>211.5</v>
      </c>
      <c r="F371" s="2">
        <v>171</v>
      </c>
      <c r="G371" s="2">
        <v>179.6</v>
      </c>
      <c r="H371" s="2">
        <v>173.3</v>
      </c>
      <c r="I371" s="2">
        <v>169</v>
      </c>
      <c r="J371" s="2">
        <v>148.69999999999999</v>
      </c>
      <c r="K371" s="2">
        <v>174.9</v>
      </c>
      <c r="L371" s="2">
        <v>121.9</v>
      </c>
      <c r="M371" s="2">
        <v>221</v>
      </c>
      <c r="N371" s="2">
        <v>178.7</v>
      </c>
      <c r="O371" s="2">
        <v>191.1</v>
      </c>
      <c r="P371" s="2">
        <v>176.8</v>
      </c>
      <c r="Q371" s="2">
        <v>199.9</v>
      </c>
      <c r="R371" s="2">
        <v>191.2</v>
      </c>
      <c r="S371" s="2">
        <v>187.9</v>
      </c>
      <c r="T371" s="2">
        <v>190.8</v>
      </c>
      <c r="U371" s="2">
        <v>0</v>
      </c>
      <c r="V371" s="2">
        <v>182.5</v>
      </c>
      <c r="W371" s="2">
        <v>179.8</v>
      </c>
      <c r="X371" s="2">
        <v>187.8</v>
      </c>
      <c r="Y371" s="2">
        <v>169.7</v>
      </c>
      <c r="Z371" s="2">
        <v>173.8</v>
      </c>
      <c r="AA371" s="2">
        <v>180.3</v>
      </c>
      <c r="AB371" s="2">
        <v>184.9</v>
      </c>
      <c r="AC371" s="2">
        <v>179.5</v>
      </c>
      <c r="AD371" s="2">
        <f>AVERAGE(All_India_Index_Upto_April23_CPI_data[[#This Row],[Cereals and products]:[Food and beverages]])</f>
        <v>176.20769230769235</v>
      </c>
      <c r="AE371" s="2">
        <f>AVERAGE(All_India_Index_Upto_April23_CPI_data[[#This Row],[Recreation and amusement]],All_India_Index_Upto_April23_CPI_data[[#This Row],[Pan, tobacco and intoxicants]])</f>
        <v>186.85000000000002</v>
      </c>
      <c r="AF371" s="2">
        <f>AVERAGE(All_India_Index_Upto_April23_CPI_data[[#This Row],[Household goods and services]],All_India_Index_Upto_April23_CPI_data[[#This Row],[Housing]])</f>
        <v>89.9</v>
      </c>
      <c r="AG371" s="2">
        <f>AVERAGE(All_India_Index_Upto_April23_CPI_data[[#This Row],[Personal care and effects]],All_India_Index_Upto_April23_CPI_data[[#This Row],[Health]])</f>
        <v>186.35000000000002</v>
      </c>
      <c r="AH371" s="2">
        <f>AVERAGE(All_India_Index_Upto_April23_CPI_data[[#This Row],[Clothing]:[Clothing and footwear]])</f>
        <v>189.9666666666667</v>
      </c>
      <c r="AI371" s="2">
        <v>179.8</v>
      </c>
      <c r="AJ371" s="1">
        <f>(All_India_Index_Upto_April23_CPI_data[[#This Row],[General index]]-AI368)/AI368</f>
        <v>5.5928411633109614E-3</v>
      </c>
    </row>
    <row r="372" spans="1:36" x14ac:dyDescent="0.25">
      <c r="A372" t="s">
        <v>32</v>
      </c>
      <c r="B372">
        <v>2023</v>
      </c>
      <c r="C372" t="s">
        <v>37</v>
      </c>
      <c r="D372" s="2">
        <v>174.7</v>
      </c>
      <c r="E372" s="2">
        <v>219.4</v>
      </c>
      <c r="F372" s="2">
        <v>176.7</v>
      </c>
      <c r="G372" s="2">
        <v>179.4</v>
      </c>
      <c r="H372" s="2">
        <v>164.4</v>
      </c>
      <c r="I372" s="2">
        <v>175.8</v>
      </c>
      <c r="J372" s="2">
        <v>185</v>
      </c>
      <c r="K372" s="2">
        <v>176.9</v>
      </c>
      <c r="L372" s="2">
        <v>124.2</v>
      </c>
      <c r="M372" s="2">
        <v>211.9</v>
      </c>
      <c r="N372" s="2">
        <v>165.9</v>
      </c>
      <c r="O372" s="2">
        <v>197.7</v>
      </c>
      <c r="P372" s="2">
        <v>183.1</v>
      </c>
      <c r="Q372" s="2">
        <v>204.2</v>
      </c>
      <c r="R372" s="2">
        <v>181.3</v>
      </c>
      <c r="S372" s="2">
        <v>168.1</v>
      </c>
      <c r="T372" s="2">
        <v>179.3</v>
      </c>
      <c r="U372" s="2">
        <v>175.6</v>
      </c>
      <c r="V372" s="2">
        <v>183.4</v>
      </c>
      <c r="W372" s="2">
        <v>170.1</v>
      </c>
      <c r="X372" s="2">
        <v>182.2</v>
      </c>
      <c r="Y372" s="2">
        <v>160.4</v>
      </c>
      <c r="Z372" s="2">
        <v>169.2</v>
      </c>
      <c r="AA372" s="2">
        <v>174.8</v>
      </c>
      <c r="AB372" s="2">
        <v>185.6</v>
      </c>
      <c r="AC372" s="2">
        <v>171.6</v>
      </c>
      <c r="AD372" s="2">
        <f>AVERAGE(All_India_Index_Upto_April23_CPI_data[[#This Row],[Cereals and products]:[Food and beverages]])</f>
        <v>179.62307692307692</v>
      </c>
      <c r="AE372" s="2">
        <f>AVERAGE(All_India_Index_Upto_April23_CPI_data[[#This Row],[Recreation and amusement]],All_India_Index_Upto_April23_CPI_data[[#This Row],[Pan, tobacco and intoxicants]])</f>
        <v>186.7</v>
      </c>
      <c r="AF372" s="2">
        <f>AVERAGE(All_India_Index_Upto_April23_CPI_data[[#This Row],[Household goods and services]],All_India_Index_Upto_April23_CPI_data[[#This Row],[Housing]])</f>
        <v>172.85</v>
      </c>
      <c r="AG372" s="2">
        <f>AVERAGE(All_India_Index_Upto_April23_CPI_data[[#This Row],[Personal care and effects]],All_India_Index_Upto_April23_CPI_data[[#This Row],[Health]])</f>
        <v>183.89999999999998</v>
      </c>
      <c r="AH372" s="2">
        <f>AVERAGE(All_India_Index_Upto_April23_CPI_data[[#This Row],[Clothing]:[Clothing and footwear]])</f>
        <v>176.23333333333335</v>
      </c>
      <c r="AI372" s="2">
        <v>178.2</v>
      </c>
      <c r="AJ372" s="1">
        <f>(All_India_Index_Upto_April23_CPI_data[[#This Row],[General index]]-AI369)/AI369</f>
        <v>4.5095828635850219E-3</v>
      </c>
    </row>
    <row r="373" spans="1:36" x14ac:dyDescent="0.25">
      <c r="A373" t="s">
        <v>33</v>
      </c>
      <c r="B373">
        <v>2023</v>
      </c>
      <c r="C373" t="s">
        <v>37</v>
      </c>
      <c r="D373" s="2">
        <v>173.7</v>
      </c>
      <c r="E373" s="2">
        <v>214.3</v>
      </c>
      <c r="F373" s="2">
        <v>173.2</v>
      </c>
      <c r="G373" s="2">
        <v>179.5</v>
      </c>
      <c r="H373" s="2">
        <v>170</v>
      </c>
      <c r="I373" s="2">
        <v>172.2</v>
      </c>
      <c r="J373" s="2">
        <v>161</v>
      </c>
      <c r="K373" s="2">
        <v>175.6</v>
      </c>
      <c r="L373" s="2">
        <v>122.7</v>
      </c>
      <c r="M373" s="2">
        <v>218</v>
      </c>
      <c r="N373" s="2">
        <v>173.4</v>
      </c>
      <c r="O373" s="2">
        <v>194.2</v>
      </c>
      <c r="P373" s="2">
        <v>179.1</v>
      </c>
      <c r="Q373" s="2">
        <v>201</v>
      </c>
      <c r="R373" s="2">
        <v>187.3</v>
      </c>
      <c r="S373" s="2">
        <v>179.7</v>
      </c>
      <c r="T373" s="2">
        <v>186.2</v>
      </c>
      <c r="U373" s="2">
        <v>175.6</v>
      </c>
      <c r="V373" s="2">
        <v>182.8</v>
      </c>
      <c r="W373" s="2">
        <v>175.2</v>
      </c>
      <c r="X373" s="2">
        <v>185.7</v>
      </c>
      <c r="Y373" s="2">
        <v>164.8</v>
      </c>
      <c r="Z373" s="2">
        <v>171.2</v>
      </c>
      <c r="AA373" s="2">
        <v>177.1</v>
      </c>
      <c r="AB373" s="2">
        <v>185.2</v>
      </c>
      <c r="AC373" s="2">
        <v>175.7</v>
      </c>
      <c r="AD373" s="2">
        <f>AVERAGE(All_India_Index_Upto_April23_CPI_data[[#This Row],[Cereals and products]:[Food and beverages]])</f>
        <v>177.45384615384617</v>
      </c>
      <c r="AE373" s="2">
        <f>AVERAGE(All_India_Index_Upto_April23_CPI_data[[#This Row],[Recreation and amusement]],All_India_Index_Upto_April23_CPI_data[[#This Row],[Pan, tobacco and intoxicants]])</f>
        <v>186.1</v>
      </c>
      <c r="AF373" s="2">
        <f>AVERAGE(All_India_Index_Upto_April23_CPI_data[[#This Row],[Household goods and services]],All_India_Index_Upto_April23_CPI_data[[#This Row],[Housing]])</f>
        <v>175.39999999999998</v>
      </c>
      <c r="AG373" s="2">
        <f>AVERAGE(All_India_Index_Upto_April23_CPI_data[[#This Row],[Personal care and effects]],All_India_Index_Upto_April23_CPI_data[[#This Row],[Health]])</f>
        <v>185.45</v>
      </c>
      <c r="AH373" s="2">
        <f>AVERAGE(All_India_Index_Upto_April23_CPI_data[[#This Row],[Clothing]:[Clothing and footwear]])</f>
        <v>184.4</v>
      </c>
      <c r="AI373" s="2">
        <v>179.1</v>
      </c>
      <c r="AJ373" s="1">
        <f>(All_India_Index_Upto_April23_CPI_data[[#This Row],[General index]]-AI370)/AI370</f>
        <v>5.614823133071308E-3</v>
      </c>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FC367-94F9-4678-B796-9A5036A68F99}">
  <dimension ref="A2:AA156"/>
  <sheetViews>
    <sheetView zoomScale="85" zoomScaleNormal="85" workbookViewId="0">
      <selection activeCell="F20" sqref="F20"/>
    </sheetView>
  </sheetViews>
  <sheetFormatPr defaultRowHeight="15" x14ac:dyDescent="0.25"/>
  <cols>
    <col min="1" max="1" width="14" bestFit="1" customWidth="1"/>
    <col min="2" max="2" width="16.85546875" bestFit="1" customWidth="1"/>
    <col min="3" max="3" width="20" bestFit="1" customWidth="1"/>
    <col min="4" max="4" width="19.140625" bestFit="1" customWidth="1"/>
    <col min="5" max="5" width="41.140625" bestFit="1" customWidth="1"/>
    <col min="6" max="6" width="26.140625" bestFit="1" customWidth="1"/>
    <col min="7" max="7" width="15.5703125" bestFit="1" customWidth="1"/>
    <col min="8" max="8" width="35.28515625" bestFit="1" customWidth="1"/>
    <col min="9" max="9" width="33.140625" bestFit="1" customWidth="1"/>
    <col min="10" max="10" width="21" bestFit="1" customWidth="1"/>
    <col min="11" max="11" width="20" bestFit="1" customWidth="1"/>
    <col min="12" max="12" width="20.42578125" bestFit="1" customWidth="1"/>
    <col min="13" max="13" width="25" bestFit="1" customWidth="1"/>
    <col min="14" max="14" width="24.140625" bestFit="1" customWidth="1"/>
    <col min="15" max="15" width="46.28515625" bestFit="1" customWidth="1"/>
    <col min="16" max="16" width="31.140625" bestFit="1" customWidth="1"/>
    <col min="17" max="17" width="20.5703125" bestFit="1" customWidth="1"/>
    <col min="18" max="18" width="40.28515625" bestFit="1" customWidth="1"/>
    <col min="19" max="19" width="38.28515625" bestFit="1" customWidth="1"/>
    <col min="20" max="20" width="26.140625" bestFit="1" customWidth="1"/>
    <col min="21" max="21" width="25" bestFit="1" customWidth="1"/>
    <col min="22" max="22" width="30.5703125" bestFit="1" customWidth="1"/>
    <col min="23" max="23" width="13.85546875" bestFit="1" customWidth="1"/>
    <col min="24" max="24" width="30.7109375" bestFit="1" customWidth="1"/>
    <col min="25" max="25" width="41.140625" bestFit="1" customWidth="1"/>
    <col min="26" max="26" width="26.140625" bestFit="1" customWidth="1"/>
    <col min="27" max="27" width="15.5703125" bestFit="1" customWidth="1"/>
    <col min="28" max="28" width="35.28515625" bestFit="1" customWidth="1"/>
    <col min="29" max="29" width="33.140625" bestFit="1" customWidth="1"/>
    <col min="30" max="30" width="21" bestFit="1" customWidth="1"/>
    <col min="31" max="31" width="20" bestFit="1" customWidth="1"/>
    <col min="32" max="32" width="20.42578125" bestFit="1" customWidth="1"/>
    <col min="33" max="33" width="25" bestFit="1" customWidth="1"/>
    <col min="34" max="34" width="24.140625" bestFit="1" customWidth="1"/>
    <col min="35" max="35" width="46.28515625" bestFit="1" customWidth="1"/>
    <col min="36" max="36" width="31.140625" bestFit="1" customWidth="1"/>
    <col min="37" max="37" width="20.5703125" bestFit="1" customWidth="1"/>
    <col min="38" max="38" width="40.28515625" bestFit="1" customWidth="1"/>
    <col min="39" max="39" width="38.28515625" bestFit="1" customWidth="1"/>
    <col min="40" max="40" width="26.140625" bestFit="1" customWidth="1"/>
    <col min="41" max="41" width="25" bestFit="1" customWidth="1"/>
    <col min="42" max="42" width="35.7109375" bestFit="1" customWidth="1"/>
    <col min="43" max="43" width="46.28515625" bestFit="1" customWidth="1"/>
    <col min="44" max="44" width="31.140625" bestFit="1" customWidth="1"/>
    <col min="45" max="45" width="39.140625" bestFit="1" customWidth="1"/>
    <col min="46" max="46" width="35.7109375" bestFit="1" customWidth="1"/>
    <col min="47" max="47" width="46.28515625" bestFit="1" customWidth="1"/>
    <col min="48" max="48" width="31.140625" bestFit="1" customWidth="1"/>
    <col min="49" max="49" width="39.140625" bestFit="1" customWidth="1"/>
    <col min="50" max="50" width="35.7109375" bestFit="1" customWidth="1"/>
    <col min="51" max="51" width="46.28515625" bestFit="1" customWidth="1"/>
    <col min="52" max="52" width="31.140625" bestFit="1" customWidth="1"/>
    <col min="53" max="53" width="39.140625" bestFit="1" customWidth="1"/>
    <col min="54" max="54" width="35.7109375" bestFit="1" customWidth="1"/>
    <col min="55" max="55" width="46.28515625" bestFit="1" customWidth="1"/>
    <col min="56" max="56" width="31.140625" bestFit="1" customWidth="1"/>
    <col min="57" max="57" width="39.140625" bestFit="1" customWidth="1"/>
    <col min="58" max="58" width="35.7109375" bestFit="1" customWidth="1"/>
    <col min="59" max="59" width="46.28515625" bestFit="1" customWidth="1"/>
    <col min="60" max="60" width="31.140625" bestFit="1" customWidth="1"/>
    <col min="61" max="61" width="39.140625" bestFit="1" customWidth="1"/>
    <col min="62" max="62" width="35.7109375" bestFit="1" customWidth="1"/>
    <col min="63" max="63" width="46.28515625" bestFit="1" customWidth="1"/>
    <col min="64" max="65" width="31.140625" bestFit="1" customWidth="1"/>
  </cols>
  <sheetData>
    <row r="2" spans="1:10" x14ac:dyDescent="0.25">
      <c r="A2" t="s">
        <v>99</v>
      </c>
    </row>
    <row r="3" spans="1:10" x14ac:dyDescent="0.25">
      <c r="A3" s="4" t="s">
        <v>51</v>
      </c>
      <c r="B3" t="s">
        <v>54</v>
      </c>
      <c r="C3" t="s">
        <v>55</v>
      </c>
      <c r="D3" t="s">
        <v>56</v>
      </c>
      <c r="E3" t="s">
        <v>57</v>
      </c>
      <c r="F3" t="s">
        <v>58</v>
      </c>
      <c r="G3" t="s">
        <v>59</v>
      </c>
      <c r="H3" t="s">
        <v>60</v>
      </c>
      <c r="I3" t="s">
        <v>61</v>
      </c>
      <c r="J3" t="s">
        <v>62</v>
      </c>
    </row>
    <row r="4" spans="1:10" x14ac:dyDescent="0.25">
      <c r="A4" s="5" t="s">
        <v>30</v>
      </c>
      <c r="B4" s="2">
        <v>176.20769230769235</v>
      </c>
      <c r="C4" s="2">
        <v>186.85000000000002</v>
      </c>
      <c r="D4" s="2">
        <v>89.9</v>
      </c>
      <c r="E4" s="2">
        <v>186.35000000000002</v>
      </c>
      <c r="F4" s="2">
        <v>189.9666666666667</v>
      </c>
      <c r="G4" s="2">
        <v>179.5</v>
      </c>
      <c r="H4" s="2">
        <v>180.3</v>
      </c>
      <c r="I4" s="2">
        <v>182.5</v>
      </c>
      <c r="J4" s="2">
        <v>169.7</v>
      </c>
    </row>
    <row r="5" spans="1:10" x14ac:dyDescent="0.25">
      <c r="A5" s="6">
        <v>2023</v>
      </c>
      <c r="B5" s="2">
        <v>176.20769230769235</v>
      </c>
      <c r="C5" s="2">
        <v>186.85000000000002</v>
      </c>
      <c r="D5" s="2">
        <v>89.9</v>
      </c>
      <c r="E5" s="2">
        <v>186.35000000000002</v>
      </c>
      <c r="F5" s="2">
        <v>189.9666666666667</v>
      </c>
      <c r="G5" s="2">
        <v>179.5</v>
      </c>
      <c r="H5" s="2">
        <v>180.3</v>
      </c>
      <c r="I5" s="2">
        <v>182.5</v>
      </c>
      <c r="J5" s="2">
        <v>169.7</v>
      </c>
    </row>
    <row r="6" spans="1:10" x14ac:dyDescent="0.25">
      <c r="A6" s="7" t="s">
        <v>37</v>
      </c>
      <c r="B6" s="2">
        <v>176.20769230769235</v>
      </c>
      <c r="C6" s="2">
        <v>186.85000000000002</v>
      </c>
      <c r="D6" s="2">
        <v>89.9</v>
      </c>
      <c r="E6" s="2">
        <v>186.35000000000002</v>
      </c>
      <c r="F6" s="2">
        <v>189.9666666666667</v>
      </c>
      <c r="G6" s="2">
        <v>179.5</v>
      </c>
      <c r="H6" s="2">
        <v>180.3</v>
      </c>
      <c r="I6" s="2">
        <v>182.5</v>
      </c>
      <c r="J6" s="2">
        <v>169.7</v>
      </c>
    </row>
    <row r="7" spans="1:10" x14ac:dyDescent="0.25">
      <c r="A7" s="5" t="s">
        <v>33</v>
      </c>
      <c r="B7" s="2">
        <v>177.45384615384617</v>
      </c>
      <c r="C7" s="2">
        <v>186.1</v>
      </c>
      <c r="D7" s="2">
        <v>175.39999999999998</v>
      </c>
      <c r="E7" s="2">
        <v>185.45</v>
      </c>
      <c r="F7" s="2">
        <v>184.4</v>
      </c>
      <c r="G7" s="2">
        <v>175.7</v>
      </c>
      <c r="H7" s="2">
        <v>177.1</v>
      </c>
      <c r="I7" s="2">
        <v>182.8</v>
      </c>
      <c r="J7" s="2">
        <v>164.8</v>
      </c>
    </row>
    <row r="8" spans="1:10" x14ac:dyDescent="0.25">
      <c r="A8" s="6">
        <v>2023</v>
      </c>
      <c r="B8" s="2">
        <v>177.45384615384617</v>
      </c>
      <c r="C8" s="2">
        <v>186.1</v>
      </c>
      <c r="D8" s="2">
        <v>175.39999999999998</v>
      </c>
      <c r="E8" s="2">
        <v>185.45</v>
      </c>
      <c r="F8" s="2">
        <v>184.4</v>
      </c>
      <c r="G8" s="2">
        <v>175.7</v>
      </c>
      <c r="H8" s="2">
        <v>177.1</v>
      </c>
      <c r="I8" s="2">
        <v>182.8</v>
      </c>
      <c r="J8" s="2">
        <v>164.8</v>
      </c>
    </row>
    <row r="9" spans="1:10" x14ac:dyDescent="0.25">
      <c r="A9" s="7" t="s">
        <v>37</v>
      </c>
      <c r="B9" s="2">
        <v>177.45384615384617</v>
      </c>
      <c r="C9" s="2">
        <v>186.1</v>
      </c>
      <c r="D9" s="2">
        <v>175.39999999999998</v>
      </c>
      <c r="E9" s="2">
        <v>185.45</v>
      </c>
      <c r="F9" s="2">
        <v>184.4</v>
      </c>
      <c r="G9" s="2">
        <v>175.7</v>
      </c>
      <c r="H9" s="2">
        <v>177.1</v>
      </c>
      <c r="I9" s="2">
        <v>182.8</v>
      </c>
      <c r="J9" s="2">
        <v>164.8</v>
      </c>
    </row>
    <row r="10" spans="1:10" x14ac:dyDescent="0.25">
      <c r="A10" s="5" t="s">
        <v>32</v>
      </c>
      <c r="B10" s="2">
        <v>179.62307692307692</v>
      </c>
      <c r="C10" s="2">
        <v>186.7</v>
      </c>
      <c r="D10" s="2">
        <v>172.85</v>
      </c>
      <c r="E10" s="2">
        <v>183.89999999999998</v>
      </c>
      <c r="F10" s="2">
        <v>176.23333333333335</v>
      </c>
      <c r="G10" s="2">
        <v>171.6</v>
      </c>
      <c r="H10" s="2">
        <v>174.8</v>
      </c>
      <c r="I10" s="2">
        <v>183.4</v>
      </c>
      <c r="J10" s="2">
        <v>160.4</v>
      </c>
    </row>
    <row r="11" spans="1:10" x14ac:dyDescent="0.25">
      <c r="A11" s="6">
        <v>2023</v>
      </c>
      <c r="B11" s="2">
        <v>179.62307692307692</v>
      </c>
      <c r="C11" s="2">
        <v>186.7</v>
      </c>
      <c r="D11" s="2">
        <v>172.85</v>
      </c>
      <c r="E11" s="2">
        <v>183.89999999999998</v>
      </c>
      <c r="F11" s="2">
        <v>176.23333333333335</v>
      </c>
      <c r="G11" s="2">
        <v>171.6</v>
      </c>
      <c r="H11" s="2">
        <v>174.8</v>
      </c>
      <c r="I11" s="2">
        <v>183.4</v>
      </c>
      <c r="J11" s="2">
        <v>160.4</v>
      </c>
    </row>
    <row r="12" spans="1:10" x14ac:dyDescent="0.25">
      <c r="A12" s="7" t="s">
        <v>37</v>
      </c>
      <c r="B12" s="2">
        <v>179.62307692307692</v>
      </c>
      <c r="C12" s="2">
        <v>186.7</v>
      </c>
      <c r="D12" s="2">
        <v>172.85</v>
      </c>
      <c r="E12" s="2">
        <v>183.89999999999998</v>
      </c>
      <c r="F12" s="2">
        <v>176.23333333333335</v>
      </c>
      <c r="G12" s="2">
        <v>171.6</v>
      </c>
      <c r="H12" s="2">
        <v>174.8</v>
      </c>
      <c r="I12" s="2">
        <v>183.4</v>
      </c>
      <c r="J12" s="2">
        <v>160.4</v>
      </c>
    </row>
    <row r="13" spans="1:10" x14ac:dyDescent="0.25">
      <c r="A13" s="5" t="s">
        <v>52</v>
      </c>
      <c r="B13" s="2">
        <v>533.28461538461545</v>
      </c>
      <c r="C13" s="2">
        <v>559.65000000000009</v>
      </c>
      <c r="D13" s="2">
        <v>438.15</v>
      </c>
      <c r="E13" s="2">
        <v>555.70000000000005</v>
      </c>
      <c r="F13" s="2">
        <v>550.6</v>
      </c>
      <c r="G13" s="2">
        <v>526.79999999999995</v>
      </c>
      <c r="H13" s="2">
        <v>532.20000000000005</v>
      </c>
      <c r="I13" s="2">
        <v>548.70000000000005</v>
      </c>
      <c r="J13" s="2">
        <v>494.9</v>
      </c>
    </row>
    <row r="15" spans="1:10" x14ac:dyDescent="0.25">
      <c r="A15" t="s">
        <v>63</v>
      </c>
      <c r="B15" t="s">
        <v>30</v>
      </c>
      <c r="C15" t="s">
        <v>32</v>
      </c>
      <c r="D15" t="s">
        <v>73</v>
      </c>
    </row>
    <row r="16" spans="1:10" x14ac:dyDescent="0.25">
      <c r="A16" t="s">
        <v>64</v>
      </c>
      <c r="B16">
        <v>176.20769230769235</v>
      </c>
      <c r="C16">
        <v>177.45384615384617</v>
      </c>
      <c r="D16" s="2">
        <v>179.62307692307692</v>
      </c>
    </row>
    <row r="17" spans="1:9" x14ac:dyDescent="0.25">
      <c r="A17" t="s">
        <v>65</v>
      </c>
      <c r="B17">
        <v>186.85000000000002</v>
      </c>
      <c r="C17">
        <v>186.1</v>
      </c>
      <c r="D17" s="2">
        <v>186.7</v>
      </c>
    </row>
    <row r="18" spans="1:9" x14ac:dyDescent="0.25">
      <c r="A18" t="s">
        <v>66</v>
      </c>
      <c r="B18">
        <v>89.9</v>
      </c>
      <c r="C18">
        <v>175.39999999999998</v>
      </c>
      <c r="D18" s="2">
        <v>172.85</v>
      </c>
    </row>
    <row r="19" spans="1:9" x14ac:dyDescent="0.25">
      <c r="A19" t="s">
        <v>67</v>
      </c>
      <c r="B19">
        <v>186.35000000000002</v>
      </c>
      <c r="C19">
        <v>185.45</v>
      </c>
      <c r="D19" s="2">
        <v>183.89999999999998</v>
      </c>
    </row>
    <row r="20" spans="1:9" x14ac:dyDescent="0.25">
      <c r="A20" t="s">
        <v>68</v>
      </c>
      <c r="B20">
        <v>189.9666666666667</v>
      </c>
      <c r="C20">
        <v>184.4</v>
      </c>
      <c r="D20" s="2">
        <v>176.23333333333335</v>
      </c>
    </row>
    <row r="21" spans="1:9" x14ac:dyDescent="0.25">
      <c r="A21" t="s">
        <v>69</v>
      </c>
      <c r="B21">
        <v>179.5</v>
      </c>
      <c r="C21">
        <v>175.7</v>
      </c>
      <c r="D21" s="2">
        <v>171.6</v>
      </c>
    </row>
    <row r="22" spans="1:9" x14ac:dyDescent="0.25">
      <c r="A22" t="s">
        <v>70</v>
      </c>
      <c r="B22">
        <v>180.3</v>
      </c>
      <c r="C22">
        <v>177.1</v>
      </c>
      <c r="D22" s="2">
        <v>174.8</v>
      </c>
    </row>
    <row r="23" spans="1:9" x14ac:dyDescent="0.25">
      <c r="A23" t="s">
        <v>71</v>
      </c>
      <c r="B23">
        <v>182.5</v>
      </c>
      <c r="C23">
        <v>182.8</v>
      </c>
      <c r="D23" s="2">
        <v>183.4</v>
      </c>
      <c r="H23" t="s">
        <v>123</v>
      </c>
      <c r="I23" t="s">
        <v>124</v>
      </c>
    </row>
    <row r="24" spans="1:9" x14ac:dyDescent="0.25">
      <c r="A24" t="s">
        <v>72</v>
      </c>
      <c r="B24">
        <v>169.7</v>
      </c>
      <c r="C24">
        <v>164.8</v>
      </c>
      <c r="D24" s="2">
        <v>160.4</v>
      </c>
      <c r="H24" s="18" t="s">
        <v>76</v>
      </c>
      <c r="I24" s="2">
        <v>1537.6</v>
      </c>
    </row>
    <row r="25" spans="1:9" x14ac:dyDescent="0.25">
      <c r="H25" s="18" t="s">
        <v>77</v>
      </c>
      <c r="I25" s="2">
        <v>1750.3</v>
      </c>
    </row>
    <row r="26" spans="1:9" x14ac:dyDescent="0.25">
      <c r="A26" t="s">
        <v>100</v>
      </c>
      <c r="H26" s="18" t="s">
        <v>78</v>
      </c>
      <c r="I26" s="2">
        <v>1553.2</v>
      </c>
    </row>
    <row r="27" spans="1:9" x14ac:dyDescent="0.25">
      <c r="A27" s="4" t="s">
        <v>51</v>
      </c>
      <c r="B27" t="s">
        <v>74</v>
      </c>
      <c r="H27" s="18" t="s">
        <v>79</v>
      </c>
      <c r="I27" s="2">
        <v>1587.6999999999998</v>
      </c>
    </row>
    <row r="28" spans="1:9" x14ac:dyDescent="0.25">
      <c r="A28" s="5" t="s">
        <v>33</v>
      </c>
      <c r="B28" s="2">
        <v>1985.0000000000002</v>
      </c>
      <c r="H28" s="18" t="s">
        <v>80</v>
      </c>
      <c r="I28" s="2">
        <v>1352.8</v>
      </c>
    </row>
    <row r="29" spans="1:9" x14ac:dyDescent="0.25">
      <c r="A29" s="6">
        <v>2017</v>
      </c>
      <c r="B29" s="2">
        <v>267.5</v>
      </c>
      <c r="D29" t="s">
        <v>1</v>
      </c>
      <c r="E29" t="s">
        <v>75</v>
      </c>
      <c r="H29" s="18" t="s">
        <v>81</v>
      </c>
      <c r="I29" s="2">
        <v>1590.1000000000001</v>
      </c>
    </row>
    <row r="30" spans="1:9" x14ac:dyDescent="0.25">
      <c r="A30" s="7" t="s">
        <v>31</v>
      </c>
      <c r="B30" s="2">
        <v>130.30000000000001</v>
      </c>
      <c r="D30">
        <v>2017</v>
      </c>
      <c r="E30" s="1">
        <f>(GETPIVOTDATA("General index",$A$27,"Sector","Rural+Urban","Year",2017,"Month","December")-GETPIVOTDATA("General index",$A$27,"Sector","Rural+Urban","Year",2017,"Month","January"))/GETPIVOTDATA("General index",$A$27,"Sector","Rural+Urban","Year",2017,"Month","January")</f>
        <v>5.295471987720627E-2</v>
      </c>
      <c r="H30" s="18" t="s">
        <v>82</v>
      </c>
      <c r="I30" s="2">
        <v>1793</v>
      </c>
    </row>
    <row r="31" spans="1:9" x14ac:dyDescent="0.25">
      <c r="A31" s="7" t="s">
        <v>44</v>
      </c>
      <c r="B31" s="2">
        <v>137.19999999999999</v>
      </c>
      <c r="D31">
        <v>2018</v>
      </c>
      <c r="E31" s="1">
        <f>(GETPIVOTDATA("General index",$A$27,"Sector","Rural+Urban","Year",2018,"Month","December")-GETPIVOTDATA("General index",$A$27,"Sector","Rural+Urban","Year",2018,"Month","January"))/GETPIVOTDATA("General index",$A$27,"Sector","Rural+Urban","Year",2018,"Month","January")</f>
        <v>2.3374726077428697E-2</v>
      </c>
      <c r="H31" s="18" t="s">
        <v>83</v>
      </c>
      <c r="I31" s="2">
        <v>1415.3</v>
      </c>
    </row>
    <row r="32" spans="1:9" x14ac:dyDescent="0.25">
      <c r="A32" s="6">
        <v>2018</v>
      </c>
      <c r="B32" s="2">
        <v>277</v>
      </c>
      <c r="D32">
        <v>2019</v>
      </c>
      <c r="E32" s="1">
        <f>(GETPIVOTDATA("General index",$A$27,"Sector","Rural+Urban","Year",2019,"Month","December")-GETPIVOTDATA("General index",$A$27,"Sector","Rural+Urban","Year",2019,"Month","January"))/GETPIVOTDATA("General index",$A$27,"Sector","Rural+Urban","Year",2019,"Month","January")</f>
        <v>7.7363896848137617E-2</v>
      </c>
      <c r="H32" s="18" t="s">
        <v>84</v>
      </c>
      <c r="I32" s="2">
        <v>1226.5</v>
      </c>
    </row>
    <row r="33" spans="1:9" x14ac:dyDescent="0.25">
      <c r="A33" s="7" t="s">
        <v>31</v>
      </c>
      <c r="B33" s="2">
        <v>136.9</v>
      </c>
      <c r="D33">
        <v>2020</v>
      </c>
      <c r="E33" s="1">
        <f>(GETPIVOTDATA("General index",$A$27,"Sector","Rural+Urban","Year",2020,"Month","December")-GETPIVOTDATA("General index",$A$27,"Sector","Rural+Urban","Year",2020,"Month","January"))/GETPIVOTDATA("General index",$A$27,"Sector","Rural+Urban","Year",2020,"Month","January")</f>
        <v>5.7922769640479481E-2</v>
      </c>
      <c r="H33" s="18" t="s">
        <v>85</v>
      </c>
      <c r="I33" s="2">
        <v>1568.6000000000001</v>
      </c>
    </row>
    <row r="34" spans="1:9" x14ac:dyDescent="0.25">
      <c r="A34" s="7" t="s">
        <v>44</v>
      </c>
      <c r="B34" s="2">
        <v>140.1</v>
      </c>
      <c r="D34">
        <v>2021</v>
      </c>
      <c r="E34" s="1">
        <f>(GETPIVOTDATA("General index",$A$27,"Sector","Rural+Urban","Year",2021,"Month","December")-GETPIVOTDATA("General index",$A$27,"Sector","Rural+Urban","Year",2021,"Month","January"))/GETPIVOTDATA("General index",$A$27,"Sector","Rural+Urban","Year",2021,"Month","January")</f>
        <v>5.657978385251098E-2</v>
      </c>
      <c r="H34" s="18" t="s">
        <v>86</v>
      </c>
      <c r="I34" s="2">
        <v>1479.6</v>
      </c>
    </row>
    <row r="35" spans="1:9" x14ac:dyDescent="0.25">
      <c r="A35" s="6">
        <v>2019</v>
      </c>
      <c r="B35" s="2">
        <v>290</v>
      </c>
      <c r="D35">
        <v>2022</v>
      </c>
      <c r="E35" s="1">
        <f>(GETPIVOTDATA("General index",$A$27,"Sector","Rural+Urban","Year",2022,"Month","December")-GETPIVOTDATA("General index",$A$27,"Sector","Rural+Urban","Year",2022,"Month","January"))/GETPIVOTDATA("General index",$A$27,"Sector","Rural+Urban","Year",2022,"Month","January")</f>
        <v>6.0350030175015092E-2</v>
      </c>
      <c r="H35" s="18" t="s">
        <v>87</v>
      </c>
      <c r="I35" s="2">
        <v>1718.3000000000002</v>
      </c>
    </row>
    <row r="36" spans="1:9" x14ac:dyDescent="0.25">
      <c r="A36" s="7" t="s">
        <v>31</v>
      </c>
      <c r="B36" s="2">
        <v>139.6</v>
      </c>
      <c r="H36" s="18" t="s">
        <v>88</v>
      </c>
      <c r="I36" s="2">
        <v>1590.7</v>
      </c>
    </row>
    <row r="37" spans="1:9" x14ac:dyDescent="0.25">
      <c r="A37" s="7" t="s">
        <v>44</v>
      </c>
      <c r="B37" s="2">
        <v>150.4</v>
      </c>
      <c r="H37" s="18" t="s">
        <v>89</v>
      </c>
      <c r="I37" s="2">
        <v>1820.1000000000001</v>
      </c>
    </row>
    <row r="38" spans="1:9" x14ac:dyDescent="0.25">
      <c r="A38" s="6">
        <v>2020</v>
      </c>
      <c r="B38" s="2">
        <v>309.10000000000002</v>
      </c>
      <c r="H38" s="18" t="s">
        <v>90</v>
      </c>
      <c r="I38" s="2">
        <v>1637</v>
      </c>
    </row>
    <row r="39" spans="1:9" x14ac:dyDescent="0.25">
      <c r="A39" s="7" t="s">
        <v>31</v>
      </c>
      <c r="B39" s="2">
        <v>150.19999999999999</v>
      </c>
      <c r="H39" s="18" t="s">
        <v>91</v>
      </c>
      <c r="I39" s="2">
        <v>1544.2000000000003</v>
      </c>
    </row>
    <row r="40" spans="1:9" x14ac:dyDescent="0.25">
      <c r="A40" s="7" t="s">
        <v>44</v>
      </c>
      <c r="B40" s="2">
        <v>158.9</v>
      </c>
      <c r="H40" s="18" t="s">
        <v>92</v>
      </c>
      <c r="I40" s="2">
        <v>1623.5000000000002</v>
      </c>
    </row>
    <row r="41" spans="1:9" x14ac:dyDescent="0.25">
      <c r="A41" s="6">
        <v>2021</v>
      </c>
      <c r="B41" s="2">
        <v>323.5</v>
      </c>
      <c r="H41" s="18" t="s">
        <v>93</v>
      </c>
      <c r="I41" s="2">
        <v>1658.4</v>
      </c>
    </row>
    <row r="42" spans="1:9" x14ac:dyDescent="0.25">
      <c r="A42" s="7" t="s">
        <v>31</v>
      </c>
      <c r="B42" s="2">
        <v>157.30000000000001</v>
      </c>
      <c r="H42" s="18" t="s">
        <v>61</v>
      </c>
      <c r="I42" s="2">
        <v>1542.7</v>
      </c>
    </row>
    <row r="43" spans="1:9" x14ac:dyDescent="0.25">
      <c r="A43" s="7" t="s">
        <v>44</v>
      </c>
      <c r="B43" s="2">
        <v>166.2</v>
      </c>
      <c r="H43" s="18" t="s">
        <v>94</v>
      </c>
      <c r="I43" s="2">
        <v>1588</v>
      </c>
    </row>
    <row r="44" spans="1:9" x14ac:dyDescent="0.25">
      <c r="A44" s="6">
        <v>2022</v>
      </c>
      <c r="B44" s="2">
        <v>341.4</v>
      </c>
      <c r="H44" s="18" t="s">
        <v>95</v>
      </c>
      <c r="I44" s="2">
        <v>1626.3</v>
      </c>
    </row>
    <row r="45" spans="1:9" x14ac:dyDescent="0.25">
      <c r="A45" s="7" t="s">
        <v>31</v>
      </c>
      <c r="B45" s="2">
        <v>165.7</v>
      </c>
      <c r="H45" s="18" t="s">
        <v>62</v>
      </c>
      <c r="I45" s="2">
        <v>1381.5</v>
      </c>
    </row>
    <row r="46" spans="1:9" x14ac:dyDescent="0.25">
      <c r="A46" s="7" t="s">
        <v>44</v>
      </c>
      <c r="B46" s="2">
        <v>175.7</v>
      </c>
      <c r="H46" s="18" t="s">
        <v>96</v>
      </c>
      <c r="I46" s="2">
        <v>1539.1</v>
      </c>
    </row>
    <row r="47" spans="1:9" x14ac:dyDescent="0.25">
      <c r="A47" s="6">
        <v>2023</v>
      </c>
      <c r="B47" s="2">
        <v>176.5</v>
      </c>
      <c r="H47" s="18" t="s">
        <v>60</v>
      </c>
      <c r="I47" s="2">
        <v>1685.5999999999997</v>
      </c>
    </row>
    <row r="48" spans="1:9" x14ac:dyDescent="0.25">
      <c r="A48" s="7" t="s">
        <v>31</v>
      </c>
      <c r="B48" s="2">
        <v>176.5</v>
      </c>
      <c r="H48" s="18" t="s">
        <v>97</v>
      </c>
      <c r="I48" s="2">
        <v>1502.5</v>
      </c>
    </row>
    <row r="49" spans="1:27" x14ac:dyDescent="0.25">
      <c r="A49" s="5" t="s">
        <v>52</v>
      </c>
      <c r="B49" s="2">
        <v>1985.0000000000002</v>
      </c>
      <c r="H49" s="18" t="s">
        <v>59</v>
      </c>
      <c r="I49" s="2">
        <v>1534.0000000000002</v>
      </c>
    </row>
    <row r="51" spans="1:27" x14ac:dyDescent="0.25">
      <c r="A51" t="s">
        <v>100</v>
      </c>
    </row>
    <row r="52" spans="1:27" x14ac:dyDescent="0.25">
      <c r="A52" s="4" t="s">
        <v>51</v>
      </c>
      <c r="B52" t="s">
        <v>76</v>
      </c>
      <c r="C52" t="s">
        <v>77</v>
      </c>
      <c r="D52" t="s">
        <v>78</v>
      </c>
      <c r="E52" t="s">
        <v>79</v>
      </c>
      <c r="F52" t="s">
        <v>80</v>
      </c>
      <c r="G52" t="s">
        <v>81</v>
      </c>
      <c r="H52" t="s">
        <v>82</v>
      </c>
      <c r="I52" t="s">
        <v>83</v>
      </c>
      <c r="J52" t="s">
        <v>84</v>
      </c>
      <c r="K52" t="s">
        <v>85</v>
      </c>
      <c r="L52" t="s">
        <v>86</v>
      </c>
      <c r="M52" t="s">
        <v>87</v>
      </c>
      <c r="N52" t="s">
        <v>88</v>
      </c>
      <c r="O52" t="s">
        <v>89</v>
      </c>
      <c r="P52" t="s">
        <v>90</v>
      </c>
      <c r="Q52" t="s">
        <v>91</v>
      </c>
      <c r="R52" t="s">
        <v>92</v>
      </c>
      <c r="S52" t="s">
        <v>93</v>
      </c>
      <c r="T52" t="s">
        <v>61</v>
      </c>
      <c r="U52" t="s">
        <v>94</v>
      </c>
      <c r="V52" t="s">
        <v>95</v>
      </c>
      <c r="W52" t="s">
        <v>62</v>
      </c>
      <c r="X52" t="s">
        <v>96</v>
      </c>
      <c r="Y52" t="s">
        <v>60</v>
      </c>
      <c r="Z52" t="s">
        <v>97</v>
      </c>
      <c r="AA52" t="s">
        <v>59</v>
      </c>
    </row>
    <row r="53" spans="1:27" x14ac:dyDescent="0.25">
      <c r="A53" s="5" t="s">
        <v>33</v>
      </c>
      <c r="B53" s="2">
        <v>1537.6</v>
      </c>
      <c r="C53" s="2">
        <v>1750.3</v>
      </c>
      <c r="D53" s="2">
        <v>1553.2</v>
      </c>
      <c r="E53" s="2">
        <v>1587.6999999999998</v>
      </c>
      <c r="F53" s="2">
        <v>1352.8</v>
      </c>
      <c r="G53" s="2">
        <v>1590.1000000000001</v>
      </c>
      <c r="H53" s="2">
        <v>1793</v>
      </c>
      <c r="I53" s="2">
        <v>1415.3</v>
      </c>
      <c r="J53" s="2">
        <v>1226.5</v>
      </c>
      <c r="K53" s="2">
        <v>1568.6000000000001</v>
      </c>
      <c r="L53" s="2">
        <v>1479.6</v>
      </c>
      <c r="M53" s="2">
        <v>1718.3000000000002</v>
      </c>
      <c r="N53" s="2">
        <v>1590.7</v>
      </c>
      <c r="O53" s="2">
        <v>1820.1000000000001</v>
      </c>
      <c r="P53" s="2">
        <v>1637</v>
      </c>
      <c r="Q53" s="2">
        <v>1544.2000000000003</v>
      </c>
      <c r="R53" s="2">
        <v>1623.5000000000002</v>
      </c>
      <c r="S53" s="2">
        <v>1658.4</v>
      </c>
      <c r="T53" s="2">
        <v>1542.7</v>
      </c>
      <c r="U53" s="2">
        <v>1588</v>
      </c>
      <c r="V53" s="2">
        <v>1626.3</v>
      </c>
      <c r="W53" s="2">
        <v>1381.5</v>
      </c>
      <c r="X53" s="2">
        <v>1539.1</v>
      </c>
      <c r="Y53" s="2">
        <v>1685.5999999999997</v>
      </c>
      <c r="Z53" s="2">
        <v>1502.5</v>
      </c>
      <c r="AA53" s="2">
        <v>1534.0000000000002</v>
      </c>
    </row>
    <row r="54" spans="1:27" x14ac:dyDescent="0.25">
      <c r="A54" s="6">
        <v>2019</v>
      </c>
      <c r="B54" s="2">
        <v>1537.6</v>
      </c>
      <c r="C54" s="2">
        <v>1750.3</v>
      </c>
      <c r="D54" s="2">
        <v>1553.2</v>
      </c>
      <c r="E54" s="2">
        <v>1587.6999999999998</v>
      </c>
      <c r="F54" s="2">
        <v>1352.8</v>
      </c>
      <c r="G54" s="2">
        <v>1590.1000000000001</v>
      </c>
      <c r="H54" s="2">
        <v>1793</v>
      </c>
      <c r="I54" s="2">
        <v>1415.3</v>
      </c>
      <c r="J54" s="2">
        <v>1226.5</v>
      </c>
      <c r="K54" s="2">
        <v>1568.6000000000001</v>
      </c>
      <c r="L54" s="2">
        <v>1479.6</v>
      </c>
      <c r="M54" s="2">
        <v>1718.3000000000002</v>
      </c>
      <c r="N54" s="2">
        <v>1590.7</v>
      </c>
      <c r="O54" s="2">
        <v>1820.1000000000001</v>
      </c>
      <c r="P54" s="2">
        <v>1637</v>
      </c>
      <c r="Q54" s="2">
        <v>1544.2000000000003</v>
      </c>
      <c r="R54" s="2">
        <v>1623.5000000000002</v>
      </c>
      <c r="S54" s="2">
        <v>1658.4</v>
      </c>
      <c r="T54" s="2">
        <v>1542.7</v>
      </c>
      <c r="U54" s="2">
        <v>1588</v>
      </c>
      <c r="V54" s="2">
        <v>1626.3</v>
      </c>
      <c r="W54" s="2">
        <v>1381.5</v>
      </c>
      <c r="X54" s="2">
        <v>1539.1</v>
      </c>
      <c r="Y54" s="2">
        <v>1685.5999999999997</v>
      </c>
      <c r="Z54" s="2">
        <v>1502.5</v>
      </c>
      <c r="AA54" s="2">
        <v>1534.0000000000002</v>
      </c>
    </row>
    <row r="55" spans="1:27" x14ac:dyDescent="0.25">
      <c r="A55" s="5" t="s">
        <v>52</v>
      </c>
      <c r="B55" s="2">
        <v>1537.6</v>
      </c>
      <c r="C55" s="2">
        <v>1750.3</v>
      </c>
      <c r="D55" s="2">
        <v>1553.2</v>
      </c>
      <c r="E55" s="2">
        <v>1587.6999999999998</v>
      </c>
      <c r="F55" s="2">
        <v>1352.8</v>
      </c>
      <c r="G55" s="2">
        <v>1590.1000000000001</v>
      </c>
      <c r="H55" s="2">
        <v>1793</v>
      </c>
      <c r="I55" s="2">
        <v>1415.3</v>
      </c>
      <c r="J55" s="2">
        <v>1226.5</v>
      </c>
      <c r="K55" s="2">
        <v>1568.6000000000001</v>
      </c>
      <c r="L55" s="2">
        <v>1479.6</v>
      </c>
      <c r="M55" s="2">
        <v>1718.3000000000002</v>
      </c>
      <c r="N55" s="2">
        <v>1590.7</v>
      </c>
      <c r="O55" s="2">
        <v>1820.1000000000001</v>
      </c>
      <c r="P55" s="2">
        <v>1637</v>
      </c>
      <c r="Q55" s="2">
        <v>1544.2000000000003</v>
      </c>
      <c r="R55" s="2">
        <v>1623.5000000000002</v>
      </c>
      <c r="S55" s="2">
        <v>1658.4</v>
      </c>
      <c r="T55" s="2">
        <v>1542.7</v>
      </c>
      <c r="U55" s="2">
        <v>1588</v>
      </c>
      <c r="V55" s="2">
        <v>1626.3</v>
      </c>
      <c r="W55" s="2">
        <v>1381.5</v>
      </c>
      <c r="X55" s="2">
        <v>1539.1</v>
      </c>
      <c r="Y55" s="2">
        <v>1685.5999999999997</v>
      </c>
      <c r="Z55" s="2">
        <v>1502.5</v>
      </c>
      <c r="AA55" s="2">
        <v>1534.0000000000002</v>
      </c>
    </row>
    <row r="63" spans="1:27" x14ac:dyDescent="0.25">
      <c r="A63" t="s">
        <v>101</v>
      </c>
    </row>
    <row r="64" spans="1:27" x14ac:dyDescent="0.25">
      <c r="A64" s="4" t="s">
        <v>98</v>
      </c>
      <c r="B64" s="4" t="s">
        <v>53</v>
      </c>
      <c r="G64" s="4" t="s">
        <v>98</v>
      </c>
      <c r="H64" s="4" t="s">
        <v>53</v>
      </c>
    </row>
    <row r="65" spans="1:11" x14ac:dyDescent="0.25">
      <c r="A65" s="4" t="s">
        <v>51</v>
      </c>
      <c r="B65" t="s">
        <v>30</v>
      </c>
      <c r="C65" t="s">
        <v>33</v>
      </c>
      <c r="D65" t="s">
        <v>32</v>
      </c>
      <c r="E65" t="s">
        <v>52</v>
      </c>
      <c r="G65" s="4" t="s">
        <v>51</v>
      </c>
      <c r="H65" t="s">
        <v>30</v>
      </c>
      <c r="I65" t="s">
        <v>33</v>
      </c>
      <c r="J65" t="s">
        <v>32</v>
      </c>
      <c r="K65" t="s">
        <v>52</v>
      </c>
    </row>
    <row r="66" spans="1:11" x14ac:dyDescent="0.25">
      <c r="A66" s="5">
        <v>2019</v>
      </c>
      <c r="B66" s="8">
        <v>7.1145113887074785E-2</v>
      </c>
      <c r="C66" s="8">
        <v>7.1276620683517755E-2</v>
      </c>
      <c r="D66" s="8">
        <v>7.228818430623371E-2</v>
      </c>
      <c r="E66" s="8">
        <v>0.21470991887682628</v>
      </c>
      <c r="G66" s="5">
        <v>2020</v>
      </c>
      <c r="H66" s="8">
        <v>6.0675759345881632E-2</v>
      </c>
      <c r="I66" s="8">
        <v>6.0828421624526376E-2</v>
      </c>
      <c r="J66" s="8">
        <v>6.1090145696597271E-2</v>
      </c>
      <c r="K66" s="8">
        <v>0.18259432666700526</v>
      </c>
    </row>
    <row r="67" spans="1:11" x14ac:dyDescent="0.25">
      <c r="A67" s="6" t="s">
        <v>31</v>
      </c>
      <c r="B67" s="8">
        <v>-6.3424947145877776E-3</v>
      </c>
      <c r="C67" s="8">
        <v>-3.5688793718772309E-3</v>
      </c>
      <c r="D67" s="8">
        <v>0</v>
      </c>
      <c r="E67" s="8">
        <v>-9.9113740864650093E-3</v>
      </c>
      <c r="G67" s="6" t="s">
        <v>31</v>
      </c>
      <c r="H67" s="8">
        <v>-2.6263952724885466E-3</v>
      </c>
      <c r="I67" s="8">
        <v>-1.3297872340426666E-3</v>
      </c>
      <c r="J67" s="8">
        <v>-6.7430883344587144E-4</v>
      </c>
      <c r="K67" s="8">
        <v>-4.6304913399770851E-3</v>
      </c>
    </row>
    <row r="68" spans="1:11" x14ac:dyDescent="0.25">
      <c r="A68" s="6" t="s">
        <v>34</v>
      </c>
      <c r="B68" s="8">
        <v>0</v>
      </c>
      <c r="C68" s="8">
        <v>2.1489971346705687E-3</v>
      </c>
      <c r="D68" s="8">
        <v>4.3478260869564802E-3</v>
      </c>
      <c r="E68" s="8">
        <v>6.4968232216270488E-3</v>
      </c>
      <c r="G68" s="6" t="s">
        <v>34</v>
      </c>
      <c r="H68" s="8">
        <v>-9.8749177090190904E-3</v>
      </c>
      <c r="I68" s="8">
        <v>-7.3235685752329853E-3</v>
      </c>
      <c r="J68" s="8">
        <v>-3.3738191632928477E-3</v>
      </c>
      <c r="K68" s="8">
        <v>-2.0572305447544924E-2</v>
      </c>
    </row>
    <row r="69" spans="1:11" x14ac:dyDescent="0.25">
      <c r="A69" s="6" t="s">
        <v>35</v>
      </c>
      <c r="B69" s="8">
        <v>1.4184397163119762E-3</v>
      </c>
      <c r="C69" s="8">
        <v>3.5739814152966403E-3</v>
      </c>
      <c r="D69" s="8">
        <v>6.4935064935065347E-3</v>
      </c>
      <c r="E69" s="8">
        <v>1.1485927625115151E-2</v>
      </c>
      <c r="G69" s="6" t="s">
        <v>35</v>
      </c>
      <c r="H69" s="8">
        <v>-3.989361702127622E-3</v>
      </c>
      <c r="I69" s="8">
        <v>-3.3534540576794099E-3</v>
      </c>
      <c r="J69" s="8">
        <v>-2.7081922816518437E-3</v>
      </c>
      <c r="K69" s="8">
        <v>-1.0051008041458876E-2</v>
      </c>
    </row>
    <row r="70" spans="1:11" x14ac:dyDescent="0.25">
      <c r="A70" s="6" t="s">
        <v>37</v>
      </c>
      <c r="B70" s="8">
        <v>8.4985835694052214E-3</v>
      </c>
      <c r="C70" s="8">
        <v>1.1396011396011355E-2</v>
      </c>
      <c r="D70" s="8">
        <v>1.4336917562724014E-2</v>
      </c>
      <c r="E70" s="8">
        <v>3.4231512528140592E-2</v>
      </c>
      <c r="G70" s="6" t="s">
        <v>36</v>
      </c>
      <c r="H70" s="8">
        <v>-6.8357810413885237E-2</v>
      </c>
      <c r="I70" s="8">
        <v>-6.0834454912516774E-2</v>
      </c>
      <c r="J70" s="8">
        <v>-5.2545824847250566E-2</v>
      </c>
      <c r="K70" s="8">
        <v>-0.18173809017365258</v>
      </c>
    </row>
    <row r="71" spans="1:11" x14ac:dyDescent="0.25">
      <c r="A71" s="6" t="s">
        <v>38</v>
      </c>
      <c r="B71" s="8">
        <v>8.4269662921347514E-3</v>
      </c>
      <c r="C71" s="8">
        <v>6.3380281690141246E-3</v>
      </c>
      <c r="D71" s="8">
        <v>4.2402826855123272E-3</v>
      </c>
      <c r="E71" s="8">
        <v>1.9005277146661205E-2</v>
      </c>
      <c r="G71" s="6" t="s">
        <v>37</v>
      </c>
      <c r="H71" s="8">
        <v>0</v>
      </c>
      <c r="I71" s="8">
        <v>0</v>
      </c>
      <c r="J71" s="8">
        <v>0</v>
      </c>
      <c r="K71" s="8">
        <v>0</v>
      </c>
    </row>
    <row r="72" spans="1:11" x14ac:dyDescent="0.25">
      <c r="A72" s="6" t="s">
        <v>39</v>
      </c>
      <c r="B72" s="8">
        <v>9.0529247910864311E-3</v>
      </c>
      <c r="C72" s="8">
        <v>9.0972708187542547E-3</v>
      </c>
      <c r="D72" s="8">
        <v>8.4447572132302397E-3</v>
      </c>
      <c r="E72" s="8">
        <v>2.6594952823070925E-2</v>
      </c>
      <c r="G72" s="6" t="s">
        <v>38</v>
      </c>
      <c r="H72" s="8">
        <v>9.41530524505588E-2</v>
      </c>
      <c r="I72" s="8">
        <v>8.7704213241616577E-2</v>
      </c>
      <c r="J72" s="8">
        <v>8.05388363427917E-2</v>
      </c>
      <c r="K72" s="8">
        <v>0.26239610203496705</v>
      </c>
    </row>
    <row r="73" spans="1:11" x14ac:dyDescent="0.25">
      <c r="A73" s="6" t="s">
        <v>40</v>
      </c>
      <c r="B73" s="8">
        <v>5.521048999309751E-3</v>
      </c>
      <c r="C73" s="8">
        <v>5.5478502080444619E-3</v>
      </c>
      <c r="D73" s="8">
        <v>6.2805303558965608E-3</v>
      </c>
      <c r="E73" s="8">
        <v>1.7349429563250775E-2</v>
      </c>
      <c r="G73" s="6" t="s">
        <v>39</v>
      </c>
      <c r="H73" s="8">
        <v>0</v>
      </c>
      <c r="I73" s="8">
        <v>0</v>
      </c>
      <c r="J73" s="8">
        <v>0</v>
      </c>
      <c r="K73" s="8">
        <v>0</v>
      </c>
    </row>
    <row r="74" spans="1:11" x14ac:dyDescent="0.25">
      <c r="A74" s="6" t="s">
        <v>41</v>
      </c>
      <c r="B74" s="8">
        <v>6.8634179821551134E-3</v>
      </c>
      <c r="C74" s="8">
        <v>5.5172413793104233E-3</v>
      </c>
      <c r="D74" s="8">
        <v>3.4674063800277394E-3</v>
      </c>
      <c r="E74" s="8">
        <v>1.5848065741493278E-2</v>
      </c>
      <c r="G74" s="6" t="s">
        <v>40</v>
      </c>
      <c r="H74" s="8">
        <v>1.3097576948264572E-2</v>
      </c>
      <c r="I74" s="8">
        <v>1.3833992094861622E-2</v>
      </c>
      <c r="J74" s="8">
        <v>1.3925729442970783E-2</v>
      </c>
      <c r="K74" s="8">
        <v>4.0857298486096975E-2</v>
      </c>
    </row>
    <row r="75" spans="1:11" x14ac:dyDescent="0.25">
      <c r="A75" s="6" t="s">
        <v>42</v>
      </c>
      <c r="B75" s="8">
        <v>1.0906612133606155E-2</v>
      </c>
      <c r="C75" s="8">
        <v>9.6021947873798155E-3</v>
      </c>
      <c r="D75" s="8">
        <v>8.9841050449206046E-3</v>
      </c>
      <c r="E75" s="8">
        <v>2.9492911965906577E-2</v>
      </c>
      <c r="G75" s="6" t="s">
        <v>41</v>
      </c>
      <c r="H75" s="8">
        <v>4.5248868778281649E-3</v>
      </c>
      <c r="I75" s="8">
        <v>5.1981806367770167E-3</v>
      </c>
      <c r="J75" s="8">
        <v>7.194244604316509E-3</v>
      </c>
      <c r="K75" s="8">
        <v>1.6917312118921689E-2</v>
      </c>
    </row>
    <row r="76" spans="1:11" x14ac:dyDescent="0.25">
      <c r="A76" s="6" t="s">
        <v>43</v>
      </c>
      <c r="B76" s="8">
        <v>1.0788941335131452E-2</v>
      </c>
      <c r="C76" s="8">
        <v>9.5108695652174301E-3</v>
      </c>
      <c r="D76" s="8">
        <v>6.8493150684931503E-3</v>
      </c>
      <c r="E76" s="8">
        <v>2.7149125968842031E-2</v>
      </c>
      <c r="G76" s="6" t="s">
        <v>42</v>
      </c>
      <c r="H76" s="8">
        <v>1.3513513513513476E-2</v>
      </c>
      <c r="I76" s="8">
        <v>1.0989010989011101E-2</v>
      </c>
      <c r="J76" s="8">
        <v>7.7922077922077185E-3</v>
      </c>
      <c r="K76" s="8">
        <v>3.2294732294732294E-2</v>
      </c>
    </row>
    <row r="77" spans="1:11" x14ac:dyDescent="0.25">
      <c r="A77" s="6" t="s">
        <v>44</v>
      </c>
      <c r="B77" s="8">
        <v>1.6010673782521717E-2</v>
      </c>
      <c r="C77" s="8">
        <v>1.2113055181695904E-2</v>
      </c>
      <c r="D77" s="8">
        <v>8.8435374149660635E-3</v>
      </c>
      <c r="E77" s="8">
        <v>3.6967266379183683E-2</v>
      </c>
      <c r="G77" s="6" t="s">
        <v>43</v>
      </c>
      <c r="H77" s="8">
        <v>1.4603174603174675E-2</v>
      </c>
      <c r="I77" s="8">
        <v>1.278772378516624E-2</v>
      </c>
      <c r="J77" s="8">
        <v>9.6649484536082478E-3</v>
      </c>
      <c r="K77" s="8">
        <v>3.7055846841949167E-2</v>
      </c>
    </row>
    <row r="78" spans="1:11" x14ac:dyDescent="0.25">
      <c r="A78" s="5">
        <v>2020</v>
      </c>
      <c r="B78" s="8">
        <v>6.0675759345881632E-2</v>
      </c>
      <c r="C78" s="8">
        <v>6.0828421624526376E-2</v>
      </c>
      <c r="D78" s="8">
        <v>6.1090145696597271E-2</v>
      </c>
      <c r="E78" s="8">
        <v>0.18259432666700526</v>
      </c>
      <c r="G78" s="6" t="s">
        <v>44</v>
      </c>
      <c r="H78" s="8">
        <v>5.6320400500624356E-3</v>
      </c>
      <c r="I78" s="8">
        <v>3.1565656565656565E-3</v>
      </c>
      <c r="J78" s="8">
        <v>1.2763241863434401E-3</v>
      </c>
      <c r="K78" s="8">
        <v>1.0064929892971532E-2</v>
      </c>
    </row>
    <row r="79" spans="1:11" x14ac:dyDescent="0.25">
      <c r="A79" s="6" t="s">
        <v>31</v>
      </c>
      <c r="B79" s="8">
        <v>-2.6263952724885466E-3</v>
      </c>
      <c r="C79" s="8">
        <v>-1.3297872340426666E-3</v>
      </c>
      <c r="D79" s="8">
        <v>-6.7430883344587144E-4</v>
      </c>
      <c r="E79" s="8">
        <v>-4.6304913399770851E-3</v>
      </c>
      <c r="G79" s="5">
        <v>2021</v>
      </c>
      <c r="H79" s="8">
        <v>3.905587123220372E-2</v>
      </c>
      <c r="I79" s="8">
        <v>4.5314632464352592E-2</v>
      </c>
      <c r="J79" s="8">
        <v>5.1821617476482659E-2</v>
      </c>
      <c r="K79" s="8">
        <v>0.13619212117303897</v>
      </c>
    </row>
    <row r="80" spans="1:11" x14ac:dyDescent="0.25">
      <c r="A80" s="6" t="s">
        <v>34</v>
      </c>
      <c r="B80" s="8">
        <v>-9.8749177090190904E-3</v>
      </c>
      <c r="C80" s="8">
        <v>-7.3235685752329853E-3</v>
      </c>
      <c r="D80" s="8">
        <v>-3.3738191632928477E-3</v>
      </c>
      <c r="E80" s="8">
        <v>-2.0572305447544924E-2</v>
      </c>
      <c r="G80" s="6" t="s">
        <v>31</v>
      </c>
      <c r="H80" s="8">
        <v>-1.3690105787181012E-2</v>
      </c>
      <c r="I80" s="8">
        <v>-1.006922592825673E-2</v>
      </c>
      <c r="J80" s="8">
        <v>-5.7361376673040511E-3</v>
      </c>
      <c r="K80" s="8">
        <v>-2.9495469382741793E-2</v>
      </c>
    </row>
    <row r="81" spans="1:11" x14ac:dyDescent="0.25">
      <c r="A81" s="6" t="s">
        <v>35</v>
      </c>
      <c r="B81" s="8">
        <v>-3.989361702127622E-3</v>
      </c>
      <c r="C81" s="8">
        <v>-3.3534540576794099E-3</v>
      </c>
      <c r="D81" s="8">
        <v>-2.7081922816518437E-3</v>
      </c>
      <c r="E81" s="8">
        <v>-1.0051008041458876E-2</v>
      </c>
      <c r="G81" s="6" t="s">
        <v>34</v>
      </c>
      <c r="H81" s="8">
        <v>-1.135646687697168E-2</v>
      </c>
      <c r="I81" s="8">
        <v>-4.4500953591863762E-3</v>
      </c>
      <c r="J81" s="8">
        <v>3.205128205128205E-3</v>
      </c>
      <c r="K81" s="8">
        <v>-1.260143403102985E-2</v>
      </c>
    </row>
    <row r="82" spans="1:11" x14ac:dyDescent="0.25">
      <c r="A82" s="6" t="s">
        <v>36</v>
      </c>
      <c r="B82" s="8">
        <v>-6.8357810413885237E-2</v>
      </c>
      <c r="C82" s="8">
        <v>-6.0834454912516774E-2</v>
      </c>
      <c r="D82" s="8">
        <v>-5.2545824847250566E-2</v>
      </c>
      <c r="E82" s="8">
        <v>-0.18173809017365258</v>
      </c>
      <c r="G82" s="6" t="s">
        <v>35</v>
      </c>
      <c r="H82" s="8">
        <v>0</v>
      </c>
      <c r="I82" s="8">
        <v>1.2771392081737999E-3</v>
      </c>
      <c r="J82" s="8">
        <v>2.5559105431310269E-3</v>
      </c>
      <c r="K82" s="8">
        <v>3.8330497513048268E-3</v>
      </c>
    </row>
    <row r="83" spans="1:11" x14ac:dyDescent="0.25">
      <c r="A83" s="6" t="s">
        <v>37</v>
      </c>
      <c r="B83" s="8">
        <v>0</v>
      </c>
      <c r="C83" s="8">
        <v>0</v>
      </c>
      <c r="D83" s="8">
        <v>0</v>
      </c>
      <c r="E83" s="8">
        <v>0</v>
      </c>
      <c r="G83" s="6" t="s">
        <v>36</v>
      </c>
      <c r="H83" s="8">
        <v>5.7434588385450267E-3</v>
      </c>
      <c r="I83" s="8">
        <v>6.3775510204081625E-3</v>
      </c>
      <c r="J83" s="8">
        <v>7.0108349267048713E-3</v>
      </c>
      <c r="K83" s="8">
        <v>1.9131844785658061E-2</v>
      </c>
    </row>
    <row r="84" spans="1:11" x14ac:dyDescent="0.25">
      <c r="A84" s="6" t="s">
        <v>38</v>
      </c>
      <c r="B84" s="8">
        <v>9.41530524505588E-2</v>
      </c>
      <c r="C84" s="8">
        <v>8.7704213241616577E-2</v>
      </c>
      <c r="D84" s="8">
        <v>8.05388363427917E-2</v>
      </c>
      <c r="E84" s="8">
        <v>0.26239610203496705</v>
      </c>
      <c r="G84" s="6" t="s">
        <v>37</v>
      </c>
      <c r="H84" s="8">
        <v>2.2208121827411168E-2</v>
      </c>
      <c r="I84" s="8">
        <v>1.6476552598225565E-2</v>
      </c>
      <c r="J84" s="8">
        <v>9.4936708860759497E-3</v>
      </c>
      <c r="K84" s="8">
        <v>4.8178345311712688E-2</v>
      </c>
    </row>
    <row r="85" spans="1:11" x14ac:dyDescent="0.25">
      <c r="A85" s="6" t="s">
        <v>39</v>
      </c>
      <c r="B85" s="8">
        <v>0</v>
      </c>
      <c r="C85" s="8">
        <v>0</v>
      </c>
      <c r="D85" s="8">
        <v>0</v>
      </c>
      <c r="E85" s="8">
        <v>0</v>
      </c>
      <c r="G85" s="6" t="s">
        <v>38</v>
      </c>
      <c r="H85" s="8">
        <v>6.2073246430788334E-3</v>
      </c>
      <c r="I85" s="8">
        <v>5.6109725685785893E-3</v>
      </c>
      <c r="J85" s="8">
        <v>5.6426332288401614E-3</v>
      </c>
      <c r="K85" s="8">
        <v>1.7460930440497582E-2</v>
      </c>
    </row>
    <row r="86" spans="1:11" x14ac:dyDescent="0.25">
      <c r="A86" s="6" t="s">
        <v>40</v>
      </c>
      <c r="B86" s="8">
        <v>1.3097576948264572E-2</v>
      </c>
      <c r="C86" s="8">
        <v>1.3833992094861622E-2</v>
      </c>
      <c r="D86" s="8">
        <v>1.3925729442970783E-2</v>
      </c>
      <c r="E86" s="8">
        <v>4.0857298486096975E-2</v>
      </c>
      <c r="G86" s="6" t="s">
        <v>39</v>
      </c>
      <c r="H86" s="8">
        <v>6.7859346082664671E-3</v>
      </c>
      <c r="I86" s="8">
        <v>7.439553626782322E-3</v>
      </c>
      <c r="J86" s="8">
        <v>8.7281795511222303E-3</v>
      </c>
      <c r="K86" s="8">
        <v>2.2953667786171021E-2</v>
      </c>
    </row>
    <row r="87" spans="1:11" x14ac:dyDescent="0.25">
      <c r="A87" s="6" t="s">
        <v>41</v>
      </c>
      <c r="B87" s="8">
        <v>4.5248868778281649E-3</v>
      </c>
      <c r="C87" s="8">
        <v>5.1981806367770167E-3</v>
      </c>
      <c r="D87" s="8">
        <v>7.194244604316509E-3</v>
      </c>
      <c r="E87" s="8">
        <v>1.6917312118921689E-2</v>
      </c>
      <c r="G87" s="6" t="s">
        <v>40</v>
      </c>
      <c r="H87" s="8">
        <v>2.4509803921568978E-3</v>
      </c>
      <c r="I87" s="8">
        <v>4.3076923076922381E-3</v>
      </c>
      <c r="J87" s="8">
        <v>3.0902348578491965E-3</v>
      </c>
      <c r="K87" s="8">
        <v>9.8489075576983325E-3</v>
      </c>
    </row>
    <row r="88" spans="1:11" x14ac:dyDescent="0.25">
      <c r="A88" s="6" t="s">
        <v>42</v>
      </c>
      <c r="B88" s="8">
        <v>1.3513513513513476E-2</v>
      </c>
      <c r="C88" s="8">
        <v>1.0989010989011101E-2</v>
      </c>
      <c r="D88" s="8">
        <v>7.7922077922077185E-3</v>
      </c>
      <c r="E88" s="8">
        <v>3.2294732294732294E-2</v>
      </c>
      <c r="G88" s="6" t="s">
        <v>41</v>
      </c>
      <c r="H88" s="8">
        <v>2.4449877750611594E-3</v>
      </c>
      <c r="I88" s="8">
        <v>0</v>
      </c>
      <c r="J88" s="8">
        <v>0</v>
      </c>
      <c r="K88" s="8">
        <v>2.4449877750611594E-3</v>
      </c>
    </row>
    <row r="89" spans="1:11" x14ac:dyDescent="0.25">
      <c r="A89" s="6" t="s">
        <v>43</v>
      </c>
      <c r="B89" s="8">
        <v>1.4603174603174675E-2</v>
      </c>
      <c r="C89" s="8">
        <v>1.278772378516624E-2</v>
      </c>
      <c r="D89" s="8">
        <v>9.6649484536082478E-3</v>
      </c>
      <c r="E89" s="8">
        <v>3.7055846841949167E-2</v>
      </c>
      <c r="G89" s="6" t="s">
        <v>42</v>
      </c>
      <c r="H89" s="8">
        <v>1.4024390243902509E-2</v>
      </c>
      <c r="I89" s="8">
        <v>1.4093137254902032E-2</v>
      </c>
      <c r="J89" s="8">
        <v>1.4171287738755286E-2</v>
      </c>
      <c r="K89" s="8">
        <v>4.2288815237559826E-2</v>
      </c>
    </row>
    <row r="90" spans="1:11" x14ac:dyDescent="0.25">
      <c r="A90" s="6" t="s">
        <v>44</v>
      </c>
      <c r="B90" s="8">
        <v>5.6320400500624356E-3</v>
      </c>
      <c r="C90" s="8">
        <v>3.1565656565656565E-3</v>
      </c>
      <c r="D90" s="8">
        <v>1.2763241863434401E-3</v>
      </c>
      <c r="E90" s="8">
        <v>1.0064929892971532E-2</v>
      </c>
      <c r="G90" s="6" t="s">
        <v>43</v>
      </c>
      <c r="H90" s="8">
        <v>7.8171978352374188E-3</v>
      </c>
      <c r="I90" s="8">
        <v>7.2507552870089949E-3</v>
      </c>
      <c r="J90" s="8">
        <v>6.0753341433778859E-3</v>
      </c>
      <c r="K90" s="8">
        <v>2.1143287265624297E-2</v>
      </c>
    </row>
    <row r="91" spans="1:11" x14ac:dyDescent="0.25">
      <c r="A91" s="5" t="s">
        <v>52</v>
      </c>
      <c r="B91" s="8">
        <v>0.13182087323295641</v>
      </c>
      <c r="C91" s="8">
        <v>0.13210504230804412</v>
      </c>
      <c r="D91" s="8">
        <v>0.13337833000283097</v>
      </c>
      <c r="E91" s="8">
        <v>0.39730424554383148</v>
      </c>
      <c r="G91" s="6" t="s">
        <v>44</v>
      </c>
      <c r="H91" s="8">
        <v>-3.579952267303069E-3</v>
      </c>
      <c r="I91" s="8">
        <v>-2.999400119976005E-3</v>
      </c>
      <c r="J91" s="8">
        <v>-2.4154589371981022E-3</v>
      </c>
      <c r="K91" s="8">
        <v>-8.9948113244771762E-3</v>
      </c>
    </row>
    <row r="92" spans="1:11" x14ac:dyDescent="0.25">
      <c r="G92" s="5" t="s">
        <v>52</v>
      </c>
      <c r="H92" s="8">
        <v>9.9731630578085359E-2</v>
      </c>
      <c r="I92" s="8">
        <v>0.10614305408887899</v>
      </c>
      <c r="J92" s="8">
        <v>0.11291176317307991</v>
      </c>
      <c r="K92" s="8">
        <v>0.31878644784004434</v>
      </c>
    </row>
    <row r="97" spans="1:26" x14ac:dyDescent="0.25">
      <c r="A97" t="s">
        <v>102</v>
      </c>
    </row>
    <row r="99" spans="1:26" x14ac:dyDescent="0.25">
      <c r="A99" s="4" t="s">
        <v>118</v>
      </c>
      <c r="B99" s="4" t="s">
        <v>53</v>
      </c>
      <c r="G99" s="4" t="s">
        <v>119</v>
      </c>
      <c r="H99" s="4" t="s">
        <v>53</v>
      </c>
      <c r="M99" s="4" t="s">
        <v>51</v>
      </c>
      <c r="N99" t="s">
        <v>76</v>
      </c>
      <c r="O99" t="s">
        <v>77</v>
      </c>
      <c r="P99" t="s">
        <v>78</v>
      </c>
      <c r="Q99" t="s">
        <v>79</v>
      </c>
      <c r="R99" t="s">
        <v>80</v>
      </c>
      <c r="S99" t="s">
        <v>81</v>
      </c>
      <c r="T99" t="s">
        <v>82</v>
      </c>
      <c r="U99" t="s">
        <v>83</v>
      </c>
      <c r="V99" t="s">
        <v>84</v>
      </c>
      <c r="W99" t="s">
        <v>85</v>
      </c>
      <c r="X99" t="s">
        <v>86</v>
      </c>
      <c r="Y99" t="s">
        <v>87</v>
      </c>
      <c r="Z99" t="s">
        <v>88</v>
      </c>
    </row>
    <row r="100" spans="1:26" x14ac:dyDescent="0.25">
      <c r="A100" s="4" t="s">
        <v>51</v>
      </c>
      <c r="B100" t="s">
        <v>33</v>
      </c>
      <c r="C100" t="s">
        <v>52</v>
      </c>
      <c r="G100" s="4" t="s">
        <v>51</v>
      </c>
      <c r="H100" t="s">
        <v>33</v>
      </c>
      <c r="I100" t="s">
        <v>52</v>
      </c>
      <c r="M100" s="5" t="s">
        <v>33</v>
      </c>
      <c r="N100" s="2">
        <v>2161.3000000000002</v>
      </c>
      <c r="O100" s="2">
        <v>2744.1</v>
      </c>
      <c r="P100" s="2">
        <v>2277.5</v>
      </c>
      <c r="Q100" s="2">
        <v>2238.9999999999995</v>
      </c>
      <c r="R100" s="2">
        <v>2434.7000000000003</v>
      </c>
      <c r="S100" s="2">
        <v>2181.8000000000002</v>
      </c>
      <c r="T100" s="2">
        <v>2236.3000000000002</v>
      </c>
      <c r="U100" s="2">
        <v>2202.7000000000003</v>
      </c>
      <c r="V100" s="2">
        <v>1573</v>
      </c>
      <c r="W100" s="2">
        <v>2619.5</v>
      </c>
      <c r="X100" s="2">
        <v>2215.2000000000003</v>
      </c>
      <c r="Y100" s="2">
        <v>2458.3000000000006</v>
      </c>
      <c r="Z100" s="2">
        <v>2298.8000000000002</v>
      </c>
    </row>
    <row r="101" spans="1:26" x14ac:dyDescent="0.25">
      <c r="A101" s="5">
        <v>2022</v>
      </c>
      <c r="B101" s="2">
        <v>3.4230769230768772</v>
      </c>
      <c r="C101" s="2">
        <v>3.4230769230768772</v>
      </c>
      <c r="G101" s="5">
        <v>2022</v>
      </c>
      <c r="H101" s="8">
        <v>1.9792083330263745E-2</v>
      </c>
      <c r="I101" s="8">
        <v>1.9792083330263745E-2</v>
      </c>
      <c r="M101" s="5" t="s">
        <v>52</v>
      </c>
      <c r="N101" s="2">
        <v>2161.3000000000002</v>
      </c>
      <c r="O101" s="2">
        <v>2744.1</v>
      </c>
      <c r="P101" s="2">
        <v>2277.5</v>
      </c>
      <c r="Q101" s="2">
        <v>2238.9999999999995</v>
      </c>
      <c r="R101" s="2">
        <v>2434.7000000000003</v>
      </c>
      <c r="S101" s="2">
        <v>2181.8000000000002</v>
      </c>
      <c r="T101" s="2">
        <v>2236.3000000000002</v>
      </c>
      <c r="U101" s="2">
        <v>2202.7000000000003</v>
      </c>
      <c r="V101" s="2">
        <v>1573</v>
      </c>
      <c r="W101" s="2">
        <v>2619.5</v>
      </c>
      <c r="X101" s="2">
        <v>2215.2000000000003</v>
      </c>
      <c r="Y101" s="2">
        <v>2458.3000000000006</v>
      </c>
      <c r="Z101" s="2">
        <v>2298.8000000000002</v>
      </c>
    </row>
    <row r="102" spans="1:26" x14ac:dyDescent="0.25">
      <c r="A102" s="6" t="s">
        <v>37</v>
      </c>
      <c r="B102" s="2">
        <v>0</v>
      </c>
      <c r="C102" s="2">
        <v>0</v>
      </c>
      <c r="G102" s="6" t="s">
        <v>37</v>
      </c>
      <c r="H102" s="8">
        <v>0</v>
      </c>
      <c r="I102" s="8">
        <v>0</v>
      </c>
    </row>
    <row r="103" spans="1:26" x14ac:dyDescent="0.25">
      <c r="A103" s="6" t="s">
        <v>38</v>
      </c>
      <c r="B103" s="2">
        <v>1.7692307692307168</v>
      </c>
      <c r="C103" s="2">
        <v>1.7692307692307168</v>
      </c>
      <c r="G103" s="6" t="s">
        <v>38</v>
      </c>
      <c r="H103" s="8">
        <v>1.0272901871454425E-2</v>
      </c>
      <c r="I103" s="8">
        <v>1.0272901871454425E-2</v>
      </c>
    </row>
    <row r="104" spans="1:26" x14ac:dyDescent="0.25">
      <c r="A104" s="6" t="s">
        <v>39</v>
      </c>
      <c r="B104" s="2">
        <v>0.33846153846155858</v>
      </c>
      <c r="C104" s="2">
        <v>0.33846153846155858</v>
      </c>
      <c r="G104" s="6" t="s">
        <v>39</v>
      </c>
      <c r="H104" s="8">
        <v>1.9452672531943328E-3</v>
      </c>
      <c r="I104" s="8">
        <v>1.9452672531943328E-3</v>
      </c>
    </row>
    <row r="105" spans="1:26" x14ac:dyDescent="0.25">
      <c r="A105" s="6" t="s">
        <v>40</v>
      </c>
      <c r="B105" s="2">
        <v>0.22307692307691696</v>
      </c>
      <c r="C105" s="2">
        <v>0.22307692307691696</v>
      </c>
      <c r="G105" s="6" t="s">
        <v>40</v>
      </c>
      <c r="H105" s="8">
        <v>1.2796187618585007E-3</v>
      </c>
      <c r="I105" s="8">
        <v>1.2796187618585007E-3</v>
      </c>
    </row>
    <row r="106" spans="1:26" x14ac:dyDescent="0.25">
      <c r="A106" s="6" t="s">
        <v>41</v>
      </c>
      <c r="B106" s="2">
        <v>0.90000000000000568</v>
      </c>
      <c r="C106" s="2">
        <v>0.90000000000000568</v>
      </c>
      <c r="G106" s="6" t="s">
        <v>41</v>
      </c>
      <c r="H106" s="8">
        <v>5.1560021152829514E-3</v>
      </c>
      <c r="I106" s="8">
        <v>5.1560021152829514E-3</v>
      </c>
    </row>
    <row r="107" spans="1:26" x14ac:dyDescent="0.25">
      <c r="A107" s="6" t="s">
        <v>42</v>
      </c>
      <c r="B107" s="2">
        <v>1.2615384615384642</v>
      </c>
      <c r="C107" s="2">
        <v>1.2615384615384642</v>
      </c>
      <c r="G107" s="6" t="s">
        <v>42</v>
      </c>
      <c r="H107" s="8">
        <v>7.1901442413082701E-3</v>
      </c>
      <c r="I107" s="8">
        <v>7.1901442413082701E-3</v>
      </c>
    </row>
    <row r="108" spans="1:26" x14ac:dyDescent="0.25">
      <c r="A108" s="6" t="s">
        <v>43</v>
      </c>
      <c r="B108" s="2">
        <v>-3.8461538461547207E-2</v>
      </c>
      <c r="C108" s="2">
        <v>-3.8461538461547207E-2</v>
      </c>
      <c r="G108" s="6" t="s">
        <v>43</v>
      </c>
      <c r="H108" s="8">
        <v>-2.176468027685168E-4</v>
      </c>
      <c r="I108" s="8">
        <v>-2.176468027685168E-4</v>
      </c>
    </row>
    <row r="109" spans="1:26" x14ac:dyDescent="0.25">
      <c r="A109" s="6" t="s">
        <v>44</v>
      </c>
      <c r="B109" s="2">
        <v>-1.0307692307692378</v>
      </c>
      <c r="C109" s="2">
        <v>-1.0307692307692378</v>
      </c>
      <c r="G109" s="6" t="s">
        <v>44</v>
      </c>
      <c r="H109" s="8">
        <v>-5.8342041100662182E-3</v>
      </c>
      <c r="I109" s="8">
        <v>-5.8342041100662182E-3</v>
      </c>
    </row>
    <row r="110" spans="1:26" x14ac:dyDescent="0.25">
      <c r="A110" s="5">
        <v>2023</v>
      </c>
      <c r="B110" s="2">
        <v>1.8076923076923208</v>
      </c>
      <c r="C110" s="2">
        <v>1.8076923076923208</v>
      </c>
      <c r="G110" s="5">
        <v>2023</v>
      </c>
      <c r="H110" s="8">
        <v>1.0303789558144316E-2</v>
      </c>
      <c r="I110" s="8">
        <v>1.0303789558144316E-2</v>
      </c>
    </row>
    <row r="111" spans="1:26" x14ac:dyDescent="0.25">
      <c r="A111" s="6" t="s">
        <v>31</v>
      </c>
      <c r="B111" s="2">
        <v>0.71538461538460751</v>
      </c>
      <c r="C111" s="2">
        <v>0.71538461538460751</v>
      </c>
      <c r="G111" s="6" t="s">
        <v>31</v>
      </c>
      <c r="H111" s="8">
        <v>4.0728737847069707E-3</v>
      </c>
      <c r="I111" s="8">
        <v>4.0728737847069707E-3</v>
      </c>
    </row>
    <row r="112" spans="1:26" x14ac:dyDescent="0.25">
      <c r="A112" s="6" t="s">
        <v>34</v>
      </c>
      <c r="B112" s="2">
        <v>-1.0461538461538566</v>
      </c>
      <c r="C112" s="2">
        <v>-1.0461538461538566</v>
      </c>
      <c r="G112" s="6" t="s">
        <v>34</v>
      </c>
      <c r="H112" s="8">
        <v>-5.9318707201117182E-3</v>
      </c>
      <c r="I112" s="8">
        <v>-5.9318707201117182E-3</v>
      </c>
    </row>
    <row r="113" spans="1:21" x14ac:dyDescent="0.25">
      <c r="A113" s="6" t="s">
        <v>35</v>
      </c>
      <c r="B113" s="2">
        <v>7.6923076923094413E-3</v>
      </c>
      <c r="C113" s="2">
        <v>7.6923076923094413E-3</v>
      </c>
      <c r="G113" s="6" t="s">
        <v>35</v>
      </c>
      <c r="H113" s="8">
        <v>4.3876968978992914E-5</v>
      </c>
      <c r="I113" s="8">
        <v>4.3876968978992914E-5</v>
      </c>
    </row>
    <row r="114" spans="1:21" x14ac:dyDescent="0.25">
      <c r="A114" s="6" t="s">
        <v>36</v>
      </c>
      <c r="B114" s="2">
        <v>0.80000000000003979</v>
      </c>
      <c r="C114" s="2">
        <v>0.80000000000003979</v>
      </c>
      <c r="G114" s="6" t="s">
        <v>36</v>
      </c>
      <c r="H114" s="8">
        <v>4.5630045630047902E-3</v>
      </c>
      <c r="I114" s="8">
        <v>4.5630045630047902E-3</v>
      </c>
    </row>
    <row r="115" spans="1:21" x14ac:dyDescent="0.25">
      <c r="A115" s="6" t="s">
        <v>37</v>
      </c>
      <c r="B115" s="2">
        <v>1.3307692307692207</v>
      </c>
      <c r="C115" s="2">
        <v>1.3307692307692207</v>
      </c>
      <c r="G115" s="6" t="s">
        <v>37</v>
      </c>
      <c r="H115" s="8">
        <v>7.555904961565281E-3</v>
      </c>
      <c r="I115" s="8">
        <v>7.555904961565281E-3</v>
      </c>
    </row>
    <row r="116" spans="1:21" x14ac:dyDescent="0.25">
      <c r="A116" s="5" t="s">
        <v>52</v>
      </c>
      <c r="B116" s="2">
        <v>5.230769230769198</v>
      </c>
      <c r="C116" s="2">
        <v>5.230769230769198</v>
      </c>
      <c r="G116" s="5" t="s">
        <v>52</v>
      </c>
      <c r="H116" s="8">
        <v>3.0095872888408062E-2</v>
      </c>
      <c r="I116" s="8">
        <v>3.0095872888408062E-2</v>
      </c>
    </row>
    <row r="122" spans="1:21" x14ac:dyDescent="0.25">
      <c r="A122" t="s">
        <v>111</v>
      </c>
    </row>
    <row r="124" spans="1:21" x14ac:dyDescent="0.25">
      <c r="B124" s="4" t="s">
        <v>53</v>
      </c>
    </row>
    <row r="125" spans="1:21" x14ac:dyDescent="0.25">
      <c r="B125" t="s">
        <v>32</v>
      </c>
      <c r="L125" t="s">
        <v>109</v>
      </c>
      <c r="M125" t="s">
        <v>103</v>
      </c>
      <c r="N125" t="s">
        <v>104</v>
      </c>
      <c r="O125" t="s">
        <v>105</v>
      </c>
      <c r="P125" t="s">
        <v>114</v>
      </c>
      <c r="Q125" t="s">
        <v>120</v>
      </c>
      <c r="R125" t="s">
        <v>115</v>
      </c>
      <c r="S125" t="s">
        <v>116</v>
      </c>
      <c r="T125" t="s">
        <v>121</v>
      </c>
      <c r="U125" t="s">
        <v>117</v>
      </c>
    </row>
    <row r="126" spans="1:21" x14ac:dyDescent="0.25">
      <c r="A126" s="4" t="s">
        <v>51</v>
      </c>
      <c r="B126" t="s">
        <v>110</v>
      </c>
      <c r="C126" t="s">
        <v>77</v>
      </c>
      <c r="D126" t="s">
        <v>80</v>
      </c>
      <c r="E126" t="s">
        <v>87</v>
      </c>
      <c r="F126" t="s">
        <v>88</v>
      </c>
      <c r="G126" t="s">
        <v>90</v>
      </c>
      <c r="H126" t="s">
        <v>62</v>
      </c>
      <c r="I126" t="s">
        <v>96</v>
      </c>
      <c r="J126" t="s">
        <v>59</v>
      </c>
      <c r="K126" t="s">
        <v>61</v>
      </c>
    </row>
    <row r="127" spans="1:21" x14ac:dyDescent="0.25">
      <c r="A127" s="5">
        <v>2021</v>
      </c>
      <c r="B127">
        <v>835.59</v>
      </c>
      <c r="C127" s="2">
        <v>2437</v>
      </c>
      <c r="D127" s="2">
        <v>2000.7999999999997</v>
      </c>
      <c r="E127" s="2">
        <v>2077.2999999999997</v>
      </c>
      <c r="F127" s="2">
        <v>1996.7</v>
      </c>
      <c r="G127" s="2">
        <v>1895.3999999999999</v>
      </c>
      <c r="H127" s="2">
        <v>1759.3</v>
      </c>
      <c r="I127" s="2">
        <v>1821.9</v>
      </c>
      <c r="J127" s="2">
        <v>1842.1999999999998</v>
      </c>
      <c r="K127" s="2">
        <v>1878</v>
      </c>
      <c r="L127">
        <v>835.59</v>
      </c>
      <c r="M127" s="2">
        <v>2437</v>
      </c>
      <c r="N127" s="2">
        <v>2000.7999999999997</v>
      </c>
      <c r="O127" s="2">
        <v>2077.2999999999997</v>
      </c>
      <c r="P127" s="2">
        <v>1996.7</v>
      </c>
      <c r="Q127" s="2">
        <v>1895.3999999999999</v>
      </c>
      <c r="R127" s="2">
        <v>1759.3</v>
      </c>
      <c r="S127" s="2">
        <v>1821.9</v>
      </c>
      <c r="T127" s="2">
        <v>1842.1999999999998</v>
      </c>
      <c r="U127" s="2">
        <v>1878</v>
      </c>
    </row>
    <row r="128" spans="1:21" x14ac:dyDescent="0.25">
      <c r="A128" s="6" t="s">
        <v>31</v>
      </c>
      <c r="B128">
        <v>54.79</v>
      </c>
      <c r="C128" s="2">
        <v>194.8</v>
      </c>
      <c r="D128" s="2">
        <v>144.1</v>
      </c>
      <c r="E128" s="2">
        <v>167.2</v>
      </c>
      <c r="F128" s="2">
        <v>163.4</v>
      </c>
      <c r="G128" s="2">
        <v>152.5</v>
      </c>
      <c r="H128" s="2">
        <v>136.9</v>
      </c>
      <c r="I128" s="2">
        <v>145.4</v>
      </c>
      <c r="J128" s="2">
        <v>147.6</v>
      </c>
      <c r="K128" s="2">
        <v>142.9</v>
      </c>
      <c r="L128">
        <v>54.79</v>
      </c>
      <c r="M128" s="2">
        <v>194.8</v>
      </c>
      <c r="N128" s="2">
        <v>144.1</v>
      </c>
      <c r="O128" s="2">
        <v>167.2</v>
      </c>
      <c r="P128" s="2">
        <v>163.4</v>
      </c>
      <c r="Q128" s="2">
        <v>152.5</v>
      </c>
      <c r="R128" s="2">
        <v>136.9</v>
      </c>
      <c r="S128" s="2">
        <v>145.4</v>
      </c>
      <c r="T128" s="2">
        <v>147.6</v>
      </c>
      <c r="U128" s="2">
        <v>142.9</v>
      </c>
    </row>
    <row r="129" spans="1:21" x14ac:dyDescent="0.25">
      <c r="A129" s="6" t="s">
        <v>34</v>
      </c>
      <c r="B129">
        <v>61.22</v>
      </c>
      <c r="C129" s="2">
        <v>191.2</v>
      </c>
      <c r="D129" s="2">
        <v>151.4</v>
      </c>
      <c r="E129" s="2">
        <v>169.4</v>
      </c>
      <c r="F129" s="2">
        <v>160.80000000000001</v>
      </c>
      <c r="G129" s="2">
        <v>154.19999999999999</v>
      </c>
      <c r="H129" s="2">
        <v>140.5</v>
      </c>
      <c r="I129" s="2">
        <v>147.30000000000001</v>
      </c>
      <c r="J129" s="2">
        <v>149.30000000000001</v>
      </c>
      <c r="K129" s="2">
        <v>149.1</v>
      </c>
      <c r="L129">
        <v>61.22</v>
      </c>
      <c r="M129" s="2">
        <v>191.2</v>
      </c>
      <c r="N129" s="2">
        <v>151.4</v>
      </c>
      <c r="O129" s="2">
        <v>169.4</v>
      </c>
      <c r="P129" s="2">
        <v>160.80000000000001</v>
      </c>
      <c r="Q129" s="2">
        <v>154.19999999999999</v>
      </c>
      <c r="R129" s="2">
        <v>140.5</v>
      </c>
      <c r="S129" s="2">
        <v>147.30000000000001</v>
      </c>
      <c r="T129" s="2">
        <v>149.30000000000001</v>
      </c>
      <c r="U129" s="2">
        <v>149.1</v>
      </c>
    </row>
    <row r="130" spans="1:21" x14ac:dyDescent="0.25">
      <c r="A130" s="6" t="s">
        <v>35</v>
      </c>
      <c r="B130">
        <v>64.73</v>
      </c>
      <c r="C130" s="2">
        <v>197.5</v>
      </c>
      <c r="D130" s="2">
        <v>156.4</v>
      </c>
      <c r="E130" s="2">
        <v>170.3</v>
      </c>
      <c r="F130" s="2">
        <v>160.4</v>
      </c>
      <c r="G130" s="2">
        <v>155.1</v>
      </c>
      <c r="H130" s="2">
        <v>141.69999999999999</v>
      </c>
      <c r="I130" s="2">
        <v>148.6</v>
      </c>
      <c r="J130" s="2">
        <v>150</v>
      </c>
      <c r="K130" s="2">
        <v>154.80000000000001</v>
      </c>
      <c r="L130">
        <v>64.73</v>
      </c>
      <c r="M130" s="2">
        <v>197.5</v>
      </c>
      <c r="N130" s="2">
        <v>156.4</v>
      </c>
      <c r="O130" s="2">
        <v>170.3</v>
      </c>
      <c r="P130" s="2">
        <v>160.4</v>
      </c>
      <c r="Q130" s="2">
        <v>155.1</v>
      </c>
      <c r="R130" s="2">
        <v>141.69999999999999</v>
      </c>
      <c r="S130" s="2">
        <v>148.6</v>
      </c>
      <c r="T130" s="2">
        <v>150</v>
      </c>
      <c r="U130" s="2">
        <v>154.80000000000001</v>
      </c>
    </row>
    <row r="131" spans="1:21" x14ac:dyDescent="0.25">
      <c r="A131" s="6" t="s">
        <v>36</v>
      </c>
      <c r="B131">
        <v>63.4</v>
      </c>
      <c r="C131" s="2">
        <v>202.5</v>
      </c>
      <c r="D131" s="2">
        <v>161.4</v>
      </c>
      <c r="E131" s="2">
        <v>171.4</v>
      </c>
      <c r="F131" s="2">
        <v>162</v>
      </c>
      <c r="G131" s="2">
        <v>155.9</v>
      </c>
      <c r="H131" s="2">
        <v>142.1</v>
      </c>
      <c r="I131" s="2">
        <v>149.1</v>
      </c>
      <c r="J131" s="2">
        <v>150.5</v>
      </c>
      <c r="K131" s="2">
        <v>154.9</v>
      </c>
      <c r="L131">
        <v>63.4</v>
      </c>
      <c r="M131" s="2">
        <v>202.5</v>
      </c>
      <c r="N131" s="2">
        <v>161.4</v>
      </c>
      <c r="O131" s="2">
        <v>171.4</v>
      </c>
      <c r="P131" s="2">
        <v>162</v>
      </c>
      <c r="Q131" s="2">
        <v>155.9</v>
      </c>
      <c r="R131" s="2">
        <v>142.1</v>
      </c>
      <c r="S131" s="2">
        <v>149.1</v>
      </c>
      <c r="T131" s="2">
        <v>150.5</v>
      </c>
      <c r="U131" s="2">
        <v>154.9</v>
      </c>
    </row>
    <row r="132" spans="1:21" x14ac:dyDescent="0.25">
      <c r="A132" s="6" t="s">
        <v>37</v>
      </c>
      <c r="B132">
        <v>66.95</v>
      </c>
      <c r="C132" s="2">
        <v>204.3</v>
      </c>
      <c r="D132" s="2">
        <v>168.8</v>
      </c>
      <c r="E132" s="2">
        <v>171.1</v>
      </c>
      <c r="F132" s="2">
        <v>164.2</v>
      </c>
      <c r="G132" s="2">
        <v>156.5</v>
      </c>
      <c r="H132" s="2">
        <v>145</v>
      </c>
      <c r="I132" s="2">
        <v>152.6</v>
      </c>
      <c r="J132" s="2">
        <v>152.30000000000001</v>
      </c>
      <c r="K132" s="2">
        <v>155.5</v>
      </c>
      <c r="L132">
        <v>66.95</v>
      </c>
      <c r="M132" s="2">
        <v>204.3</v>
      </c>
      <c r="N132" s="2">
        <v>168.8</v>
      </c>
      <c r="O132" s="2">
        <v>171.1</v>
      </c>
      <c r="P132" s="2">
        <v>164.2</v>
      </c>
      <c r="Q132" s="2">
        <v>156.5</v>
      </c>
      <c r="R132" s="2">
        <v>145</v>
      </c>
      <c r="S132" s="2">
        <v>152.6</v>
      </c>
      <c r="T132" s="2">
        <v>152.30000000000001</v>
      </c>
      <c r="U132" s="2">
        <v>155.5</v>
      </c>
    </row>
    <row r="133" spans="1:21" x14ac:dyDescent="0.25">
      <c r="A133" s="6" t="s">
        <v>38</v>
      </c>
      <c r="B133">
        <v>71.98</v>
      </c>
      <c r="C133" s="2">
        <v>205.5</v>
      </c>
      <c r="D133" s="2">
        <v>172.2</v>
      </c>
      <c r="E133" s="2">
        <v>173.3</v>
      </c>
      <c r="F133" s="2">
        <v>166.2</v>
      </c>
      <c r="G133" s="2">
        <v>157.30000000000001</v>
      </c>
      <c r="H133" s="2">
        <v>147.5</v>
      </c>
      <c r="I133" s="2">
        <v>150.69999999999999</v>
      </c>
      <c r="J133" s="2">
        <v>153.4</v>
      </c>
      <c r="K133" s="2">
        <v>156.1</v>
      </c>
      <c r="L133">
        <v>71.98</v>
      </c>
      <c r="M133" s="2">
        <v>205.5</v>
      </c>
      <c r="N133" s="2">
        <v>172.2</v>
      </c>
      <c r="O133" s="2">
        <v>173.3</v>
      </c>
      <c r="P133" s="2">
        <v>166.2</v>
      </c>
      <c r="Q133" s="2">
        <v>157.30000000000001</v>
      </c>
      <c r="R133" s="2">
        <v>147.5</v>
      </c>
      <c r="S133" s="2">
        <v>150.69999999999999</v>
      </c>
      <c r="T133" s="2">
        <v>153.4</v>
      </c>
      <c r="U133" s="2">
        <v>156.1</v>
      </c>
    </row>
    <row r="134" spans="1:21" x14ac:dyDescent="0.25">
      <c r="A134" s="6" t="s">
        <v>39</v>
      </c>
      <c r="B134">
        <v>73.540000000000006</v>
      </c>
      <c r="C134" s="2">
        <v>210.9</v>
      </c>
      <c r="D134" s="2">
        <v>170.6</v>
      </c>
      <c r="E134" s="2">
        <v>173.5</v>
      </c>
      <c r="F134" s="2">
        <v>167.9</v>
      </c>
      <c r="G134" s="2">
        <v>157.9</v>
      </c>
      <c r="H134" s="2">
        <v>149.5</v>
      </c>
      <c r="I134" s="2">
        <v>151.19999999999999</v>
      </c>
      <c r="J134" s="2">
        <v>155</v>
      </c>
      <c r="K134" s="2">
        <v>157.69999999999999</v>
      </c>
      <c r="L134">
        <v>73.540000000000006</v>
      </c>
      <c r="M134" s="2">
        <v>210.9</v>
      </c>
      <c r="N134" s="2">
        <v>170.6</v>
      </c>
      <c r="O134" s="2">
        <v>173.5</v>
      </c>
      <c r="P134" s="2">
        <v>167.9</v>
      </c>
      <c r="Q134" s="2">
        <v>157.9</v>
      </c>
      <c r="R134" s="2">
        <v>149.5</v>
      </c>
      <c r="S134" s="2">
        <v>151.19999999999999</v>
      </c>
      <c r="T134" s="2">
        <v>155</v>
      </c>
      <c r="U134" s="2">
        <v>157.69999999999999</v>
      </c>
    </row>
    <row r="135" spans="1:21" x14ac:dyDescent="0.25">
      <c r="A135" s="6" t="s">
        <v>40</v>
      </c>
      <c r="B135">
        <v>69.8</v>
      </c>
      <c r="C135" s="2">
        <v>207.4</v>
      </c>
      <c r="D135" s="2">
        <v>175</v>
      </c>
      <c r="E135" s="2">
        <v>175.1</v>
      </c>
      <c r="F135" s="2">
        <v>167.3</v>
      </c>
      <c r="G135" s="2">
        <v>159.80000000000001</v>
      </c>
      <c r="H135" s="2">
        <v>150.4</v>
      </c>
      <c r="I135" s="2">
        <v>153.69999999999999</v>
      </c>
      <c r="J135" s="2">
        <v>156</v>
      </c>
      <c r="K135" s="2">
        <v>160.69999999999999</v>
      </c>
      <c r="L135">
        <v>69.8</v>
      </c>
      <c r="M135" s="2">
        <v>207.4</v>
      </c>
      <c r="N135" s="2">
        <v>175</v>
      </c>
      <c r="O135" s="2">
        <v>175.1</v>
      </c>
      <c r="P135" s="2">
        <v>167.3</v>
      </c>
      <c r="Q135" s="2">
        <v>159.80000000000001</v>
      </c>
      <c r="R135" s="2">
        <v>150.4</v>
      </c>
      <c r="S135" s="2">
        <v>153.69999999999999</v>
      </c>
      <c r="T135" s="2">
        <v>156</v>
      </c>
      <c r="U135" s="2">
        <v>160.69999999999999</v>
      </c>
    </row>
    <row r="136" spans="1:21" x14ac:dyDescent="0.25">
      <c r="A136" s="6" t="s">
        <v>41</v>
      </c>
      <c r="B136">
        <v>73.13</v>
      </c>
      <c r="C136" s="2">
        <v>207.4</v>
      </c>
      <c r="D136" s="2">
        <v>175</v>
      </c>
      <c r="E136" s="2">
        <v>175.1</v>
      </c>
      <c r="F136" s="2">
        <v>167.3</v>
      </c>
      <c r="G136" s="2">
        <v>159.80000000000001</v>
      </c>
      <c r="H136" s="2">
        <v>150.5</v>
      </c>
      <c r="I136" s="2">
        <v>153.9</v>
      </c>
      <c r="J136" s="2">
        <v>156</v>
      </c>
      <c r="K136" s="2">
        <v>160.80000000000001</v>
      </c>
      <c r="L136">
        <v>73.13</v>
      </c>
      <c r="M136" s="2">
        <v>207.4</v>
      </c>
      <c r="N136" s="2">
        <v>175</v>
      </c>
      <c r="O136" s="2">
        <v>175.1</v>
      </c>
      <c r="P136" s="2">
        <v>167.3</v>
      </c>
      <c r="Q136" s="2">
        <v>159.80000000000001</v>
      </c>
      <c r="R136" s="2">
        <v>150.5</v>
      </c>
      <c r="S136" s="2">
        <v>153.9</v>
      </c>
      <c r="T136" s="2">
        <v>156</v>
      </c>
      <c r="U136" s="2">
        <v>160.80000000000001</v>
      </c>
    </row>
    <row r="137" spans="1:21" x14ac:dyDescent="0.25">
      <c r="A137" s="6" t="s">
        <v>42</v>
      </c>
      <c r="B137">
        <v>82.11</v>
      </c>
      <c r="C137" s="2">
        <v>208.4</v>
      </c>
      <c r="D137" s="2">
        <v>176.6</v>
      </c>
      <c r="E137" s="2">
        <v>175.9</v>
      </c>
      <c r="F137" s="2">
        <v>171.5</v>
      </c>
      <c r="G137" s="2">
        <v>160.80000000000001</v>
      </c>
      <c r="H137" s="2">
        <v>152.19999999999999</v>
      </c>
      <c r="I137" s="2">
        <v>155.1</v>
      </c>
      <c r="J137" s="2">
        <v>157</v>
      </c>
      <c r="K137" s="2">
        <v>162.19999999999999</v>
      </c>
      <c r="L137">
        <v>82.11</v>
      </c>
      <c r="M137" s="2">
        <v>208.4</v>
      </c>
      <c r="N137" s="2">
        <v>176.6</v>
      </c>
      <c r="O137" s="2">
        <v>175.9</v>
      </c>
      <c r="P137" s="2">
        <v>171.5</v>
      </c>
      <c r="Q137" s="2">
        <v>160.80000000000001</v>
      </c>
      <c r="R137" s="2">
        <v>152.19999999999999</v>
      </c>
      <c r="S137" s="2">
        <v>155.1</v>
      </c>
      <c r="T137" s="2">
        <v>157</v>
      </c>
      <c r="U137" s="2">
        <v>162.19999999999999</v>
      </c>
    </row>
    <row r="138" spans="1:21" x14ac:dyDescent="0.25">
      <c r="A138" s="6" t="s">
        <v>43</v>
      </c>
      <c r="B138">
        <v>80.64</v>
      </c>
      <c r="C138" s="2">
        <v>204.9</v>
      </c>
      <c r="D138" s="2">
        <v>175.8</v>
      </c>
      <c r="E138" s="2">
        <v>176.8</v>
      </c>
      <c r="F138" s="2">
        <v>173.5</v>
      </c>
      <c r="G138" s="2">
        <v>162.30000000000001</v>
      </c>
      <c r="H138" s="2">
        <v>151.19999999999999</v>
      </c>
      <c r="I138" s="2">
        <v>156.69999999999999</v>
      </c>
      <c r="J138" s="2">
        <v>157.30000000000001</v>
      </c>
      <c r="K138" s="2">
        <v>161.6</v>
      </c>
      <c r="L138">
        <v>80.64</v>
      </c>
      <c r="M138" s="2">
        <v>204.9</v>
      </c>
      <c r="N138" s="2">
        <v>175.8</v>
      </c>
      <c r="O138" s="2">
        <v>176.8</v>
      </c>
      <c r="P138" s="2">
        <v>173.5</v>
      </c>
      <c r="Q138" s="2">
        <v>162.30000000000001</v>
      </c>
      <c r="R138" s="2">
        <v>151.19999999999999</v>
      </c>
      <c r="S138" s="2">
        <v>156.69999999999999</v>
      </c>
      <c r="T138" s="2">
        <v>157.30000000000001</v>
      </c>
      <c r="U138" s="2">
        <v>161.6</v>
      </c>
    </row>
    <row r="139" spans="1:21" x14ac:dyDescent="0.25">
      <c r="A139" s="6" t="s">
        <v>44</v>
      </c>
      <c r="B139">
        <v>73.3</v>
      </c>
      <c r="C139" s="2">
        <v>202.2</v>
      </c>
      <c r="D139" s="2">
        <v>173.5</v>
      </c>
      <c r="E139" s="2">
        <v>178.2</v>
      </c>
      <c r="F139" s="2">
        <v>172.2</v>
      </c>
      <c r="G139" s="2">
        <v>163.30000000000001</v>
      </c>
      <c r="H139" s="2">
        <v>151.80000000000001</v>
      </c>
      <c r="I139" s="2">
        <v>157.6</v>
      </c>
      <c r="J139" s="2">
        <v>157.80000000000001</v>
      </c>
      <c r="K139" s="2">
        <v>161.69999999999999</v>
      </c>
      <c r="L139">
        <v>73.3</v>
      </c>
      <c r="M139" s="2">
        <v>202.2</v>
      </c>
      <c r="N139" s="2">
        <v>173.5</v>
      </c>
      <c r="O139" s="2">
        <v>178.2</v>
      </c>
      <c r="P139" s="2">
        <v>172.2</v>
      </c>
      <c r="Q139" s="2">
        <v>163.30000000000001</v>
      </c>
      <c r="R139" s="2">
        <v>151.80000000000001</v>
      </c>
      <c r="S139" s="2">
        <v>157.6</v>
      </c>
      <c r="T139" s="2">
        <v>157.80000000000001</v>
      </c>
      <c r="U139" s="2">
        <v>161.69999999999999</v>
      </c>
    </row>
    <row r="140" spans="1:21" x14ac:dyDescent="0.25">
      <c r="A140" s="5">
        <v>2022</v>
      </c>
      <c r="B140">
        <v>1171.05</v>
      </c>
      <c r="C140" s="2">
        <v>2566.4</v>
      </c>
      <c r="D140" s="2">
        <v>2170</v>
      </c>
      <c r="E140" s="2">
        <v>2239.2000000000003</v>
      </c>
      <c r="F140" s="2">
        <v>2128.1</v>
      </c>
      <c r="G140" s="2">
        <v>2058.8000000000002</v>
      </c>
      <c r="H140" s="2">
        <v>1886.3000000000002</v>
      </c>
      <c r="I140" s="2">
        <v>1963.7999999999997</v>
      </c>
      <c r="J140" s="2">
        <v>1967.9</v>
      </c>
      <c r="K140" s="2">
        <v>2086</v>
      </c>
      <c r="L140">
        <v>1171.05</v>
      </c>
      <c r="M140" s="2">
        <v>2566.4</v>
      </c>
      <c r="N140" s="2">
        <v>2170</v>
      </c>
      <c r="O140" s="2">
        <v>2239.2000000000003</v>
      </c>
      <c r="P140" s="2">
        <v>2128.1</v>
      </c>
      <c r="Q140" s="2">
        <v>2058.8000000000002</v>
      </c>
      <c r="R140" s="2">
        <v>1886.3000000000002</v>
      </c>
      <c r="S140" s="2">
        <v>1963.7999999999997</v>
      </c>
      <c r="T140" s="2">
        <v>1967.9</v>
      </c>
      <c r="U140" s="2">
        <v>2086</v>
      </c>
    </row>
    <row r="141" spans="1:21" x14ac:dyDescent="0.25">
      <c r="A141" s="6" t="s">
        <v>31</v>
      </c>
      <c r="B141">
        <v>84.67</v>
      </c>
      <c r="C141" s="2">
        <v>202.1</v>
      </c>
      <c r="D141" s="2">
        <v>171</v>
      </c>
      <c r="E141" s="2">
        <v>179</v>
      </c>
      <c r="F141" s="2">
        <v>170.3</v>
      </c>
      <c r="G141" s="2">
        <v>164.7</v>
      </c>
      <c r="H141" s="2">
        <v>152.69999999999999</v>
      </c>
      <c r="I141" s="2">
        <v>158.4</v>
      </c>
      <c r="J141" s="2">
        <v>158.6</v>
      </c>
      <c r="K141" s="2">
        <v>161.6</v>
      </c>
      <c r="L141">
        <v>84.67</v>
      </c>
      <c r="M141" s="2">
        <v>202.1</v>
      </c>
      <c r="N141" s="2">
        <v>171</v>
      </c>
      <c r="O141" s="2">
        <v>179</v>
      </c>
      <c r="P141" s="2">
        <v>170.3</v>
      </c>
      <c r="Q141" s="2">
        <v>164.7</v>
      </c>
      <c r="R141" s="2">
        <v>152.69999999999999</v>
      </c>
      <c r="S141" s="2">
        <v>158.4</v>
      </c>
      <c r="T141" s="2">
        <v>158.6</v>
      </c>
      <c r="U141" s="2">
        <v>161.6</v>
      </c>
    </row>
    <row r="142" spans="1:21" x14ac:dyDescent="0.25">
      <c r="A142" s="6" t="s">
        <v>34</v>
      </c>
      <c r="B142">
        <v>94.07</v>
      </c>
      <c r="C142" s="2">
        <v>205.2</v>
      </c>
      <c r="D142" s="2">
        <v>171.5</v>
      </c>
      <c r="E142" s="2">
        <v>180</v>
      </c>
      <c r="F142" s="2">
        <v>170.2</v>
      </c>
      <c r="G142" s="2">
        <v>165.7</v>
      </c>
      <c r="H142" s="2">
        <v>153.1</v>
      </c>
      <c r="I142" s="2">
        <v>159.5</v>
      </c>
      <c r="J142" s="2">
        <v>159.4</v>
      </c>
      <c r="K142" s="2">
        <v>163</v>
      </c>
      <c r="L142">
        <v>94.07</v>
      </c>
      <c r="M142" s="2">
        <v>205.2</v>
      </c>
      <c r="N142" s="2">
        <v>171.5</v>
      </c>
      <c r="O142" s="2">
        <v>180</v>
      </c>
      <c r="P142" s="2">
        <v>170.2</v>
      </c>
      <c r="Q142" s="2">
        <v>165.7</v>
      </c>
      <c r="R142" s="2">
        <v>153.1</v>
      </c>
      <c r="S142" s="2">
        <v>159.5</v>
      </c>
      <c r="T142" s="2">
        <v>159.4</v>
      </c>
      <c r="U142" s="2">
        <v>163</v>
      </c>
    </row>
    <row r="143" spans="1:21" x14ac:dyDescent="0.25">
      <c r="A143" s="6" t="s">
        <v>35</v>
      </c>
      <c r="B143">
        <v>112.87</v>
      </c>
      <c r="C143" s="2">
        <v>215.8</v>
      </c>
      <c r="D143" s="2">
        <v>180</v>
      </c>
      <c r="E143" s="2">
        <v>181.5</v>
      </c>
      <c r="F143" s="2">
        <v>171.5</v>
      </c>
      <c r="G143" s="2">
        <v>167.1</v>
      </c>
      <c r="H143" s="2">
        <v>154.19999999999999</v>
      </c>
      <c r="I143" s="2">
        <v>160.80000000000001</v>
      </c>
      <c r="J143" s="2">
        <v>160.6</v>
      </c>
      <c r="K143" s="2">
        <v>164.5</v>
      </c>
      <c r="L143">
        <v>112.87</v>
      </c>
      <c r="M143" s="2">
        <v>215.8</v>
      </c>
      <c r="N143" s="2">
        <v>180</v>
      </c>
      <c r="O143" s="2">
        <v>181.5</v>
      </c>
      <c r="P143" s="2">
        <v>171.5</v>
      </c>
      <c r="Q143" s="2">
        <v>167.1</v>
      </c>
      <c r="R143" s="2">
        <v>154.19999999999999</v>
      </c>
      <c r="S143" s="2">
        <v>160.80000000000001</v>
      </c>
      <c r="T143" s="2">
        <v>160.6</v>
      </c>
      <c r="U143" s="2">
        <v>164.5</v>
      </c>
    </row>
    <row r="144" spans="1:21" x14ac:dyDescent="0.25">
      <c r="A144" s="6" t="s">
        <v>36</v>
      </c>
      <c r="B144">
        <v>102.97</v>
      </c>
      <c r="C144" s="2">
        <v>215.8</v>
      </c>
      <c r="D144" s="2">
        <v>186</v>
      </c>
      <c r="E144" s="2">
        <v>183.3</v>
      </c>
      <c r="F144" s="2">
        <v>174.5</v>
      </c>
      <c r="G144" s="2">
        <v>168.4</v>
      </c>
      <c r="H144" s="2">
        <v>159.30000000000001</v>
      </c>
      <c r="I144" s="2">
        <v>162.19999999999999</v>
      </c>
      <c r="J144" s="2">
        <v>163.1</v>
      </c>
      <c r="K144" s="2">
        <v>170.5</v>
      </c>
      <c r="L144">
        <v>102.97</v>
      </c>
      <c r="M144" s="2">
        <v>215.8</v>
      </c>
      <c r="N144" s="2">
        <v>186</v>
      </c>
      <c r="O144" s="2">
        <v>183.3</v>
      </c>
      <c r="P144" s="2">
        <v>174.5</v>
      </c>
      <c r="Q144" s="2">
        <v>168.4</v>
      </c>
      <c r="R144" s="2">
        <v>159.30000000000001</v>
      </c>
      <c r="S144" s="2">
        <v>162.19999999999999</v>
      </c>
      <c r="T144" s="2">
        <v>163.1</v>
      </c>
      <c r="U144" s="2">
        <v>170.5</v>
      </c>
    </row>
    <row r="145" spans="1:21" x14ac:dyDescent="0.25">
      <c r="A145" s="6" t="s">
        <v>37</v>
      </c>
      <c r="B145">
        <v>109.51</v>
      </c>
      <c r="C145" s="2">
        <v>221.2</v>
      </c>
      <c r="D145" s="2">
        <v>189.5</v>
      </c>
      <c r="E145" s="2">
        <v>184.9</v>
      </c>
      <c r="F145" s="2">
        <v>177.5</v>
      </c>
      <c r="G145" s="2">
        <v>170</v>
      </c>
      <c r="H145" s="2">
        <v>159.4</v>
      </c>
      <c r="I145" s="2">
        <v>163.19999999999999</v>
      </c>
      <c r="J145" s="2">
        <v>163.80000000000001</v>
      </c>
      <c r="K145" s="2">
        <v>173.5</v>
      </c>
      <c r="L145">
        <v>109.51</v>
      </c>
      <c r="M145" s="2">
        <v>221.2</v>
      </c>
      <c r="N145" s="2">
        <v>189.5</v>
      </c>
      <c r="O145" s="2">
        <v>184.9</v>
      </c>
      <c r="P145" s="2">
        <v>177.5</v>
      </c>
      <c r="Q145" s="2">
        <v>170</v>
      </c>
      <c r="R145" s="2">
        <v>159.4</v>
      </c>
      <c r="S145" s="2">
        <v>163.19999999999999</v>
      </c>
      <c r="T145" s="2">
        <v>163.80000000000001</v>
      </c>
      <c r="U145" s="2">
        <v>173.5</v>
      </c>
    </row>
    <row r="146" spans="1:21" x14ac:dyDescent="0.25">
      <c r="A146" s="6" t="s">
        <v>38</v>
      </c>
      <c r="B146">
        <v>116.01</v>
      </c>
      <c r="C146" s="2">
        <v>223.4</v>
      </c>
      <c r="D146" s="2">
        <v>188.6</v>
      </c>
      <c r="E146" s="2">
        <v>186.3</v>
      </c>
      <c r="F146" s="2">
        <v>179.3</v>
      </c>
      <c r="G146" s="2">
        <v>171.6</v>
      </c>
      <c r="H146" s="2">
        <v>157.19999999999999</v>
      </c>
      <c r="I146" s="2">
        <v>164.1</v>
      </c>
      <c r="J146" s="2">
        <v>163.80000000000001</v>
      </c>
      <c r="K146" s="2">
        <v>174.9</v>
      </c>
      <c r="L146">
        <v>116.01</v>
      </c>
      <c r="M146" s="2">
        <v>223.4</v>
      </c>
      <c r="N146" s="2">
        <v>188.6</v>
      </c>
      <c r="O146" s="2">
        <v>186.3</v>
      </c>
      <c r="P146" s="2">
        <v>179.3</v>
      </c>
      <c r="Q146" s="2">
        <v>171.6</v>
      </c>
      <c r="R146" s="2">
        <v>157.19999999999999</v>
      </c>
      <c r="S146" s="2">
        <v>164.1</v>
      </c>
      <c r="T146" s="2">
        <v>163.80000000000001</v>
      </c>
      <c r="U146" s="2">
        <v>174.9</v>
      </c>
    </row>
    <row r="147" spans="1:21" x14ac:dyDescent="0.25">
      <c r="A147" s="6" t="s">
        <v>39</v>
      </c>
      <c r="B147">
        <v>105.49</v>
      </c>
      <c r="C147" s="2">
        <v>217.1</v>
      </c>
      <c r="D147" s="2">
        <v>184.8</v>
      </c>
      <c r="E147" s="2">
        <v>187.7</v>
      </c>
      <c r="F147" s="2">
        <v>179.4</v>
      </c>
      <c r="G147" s="2">
        <v>172.7</v>
      </c>
      <c r="H147" s="2">
        <v>157.4</v>
      </c>
      <c r="I147" s="2">
        <v>164.6</v>
      </c>
      <c r="J147" s="2">
        <v>164.7</v>
      </c>
      <c r="K147" s="2">
        <v>179.5</v>
      </c>
      <c r="L147">
        <v>105.49</v>
      </c>
      <c r="M147" s="2">
        <v>217.1</v>
      </c>
      <c r="N147" s="2">
        <v>184.8</v>
      </c>
      <c r="O147" s="2">
        <v>187.7</v>
      </c>
      <c r="P147" s="2">
        <v>179.4</v>
      </c>
      <c r="Q147" s="2">
        <v>172.7</v>
      </c>
      <c r="R147" s="2">
        <v>157.4</v>
      </c>
      <c r="S147" s="2">
        <v>164.6</v>
      </c>
      <c r="T147" s="2">
        <v>164.7</v>
      </c>
      <c r="U147" s="2">
        <v>179.5</v>
      </c>
    </row>
    <row r="148" spans="1:21" x14ac:dyDescent="0.25">
      <c r="A148" s="6" t="s">
        <v>40</v>
      </c>
      <c r="B148">
        <v>97.4</v>
      </c>
      <c r="C148" s="2">
        <v>210.9</v>
      </c>
      <c r="D148" s="2">
        <v>182.5</v>
      </c>
      <c r="E148" s="2">
        <v>188.9</v>
      </c>
      <c r="F148" s="2">
        <v>180.4</v>
      </c>
      <c r="G148" s="2">
        <v>173.7</v>
      </c>
      <c r="H148" s="2">
        <v>157.69999999999999</v>
      </c>
      <c r="I148" s="2">
        <v>165.1</v>
      </c>
      <c r="J148" s="2">
        <v>165.4</v>
      </c>
      <c r="K148" s="2">
        <v>178.4</v>
      </c>
      <c r="L148">
        <v>97.4</v>
      </c>
      <c r="M148" s="2">
        <v>210.9</v>
      </c>
      <c r="N148" s="2">
        <v>182.5</v>
      </c>
      <c r="O148" s="2">
        <v>188.9</v>
      </c>
      <c r="P148" s="2">
        <v>180.4</v>
      </c>
      <c r="Q148" s="2">
        <v>173.7</v>
      </c>
      <c r="R148" s="2">
        <v>157.69999999999999</v>
      </c>
      <c r="S148" s="2">
        <v>165.1</v>
      </c>
      <c r="T148" s="2">
        <v>165.4</v>
      </c>
      <c r="U148" s="2">
        <v>178.4</v>
      </c>
    </row>
    <row r="149" spans="1:21" x14ac:dyDescent="0.25">
      <c r="A149" s="6" t="s">
        <v>41</v>
      </c>
      <c r="B149">
        <v>90.71</v>
      </c>
      <c r="C149" s="2">
        <v>213.7</v>
      </c>
      <c r="D149" s="2">
        <v>179.3</v>
      </c>
      <c r="E149" s="2">
        <v>190.4</v>
      </c>
      <c r="F149" s="2">
        <v>181.8</v>
      </c>
      <c r="G149" s="2">
        <v>175</v>
      </c>
      <c r="H149" s="2">
        <v>158.19999999999999</v>
      </c>
      <c r="I149" s="2">
        <v>165.8</v>
      </c>
      <c r="J149" s="2">
        <v>166.1</v>
      </c>
      <c r="K149" s="2">
        <v>179.2</v>
      </c>
      <c r="L149">
        <v>90.71</v>
      </c>
      <c r="M149" s="2">
        <v>213.7</v>
      </c>
      <c r="N149" s="2">
        <v>179.3</v>
      </c>
      <c r="O149" s="2">
        <v>190.4</v>
      </c>
      <c r="P149" s="2">
        <v>181.8</v>
      </c>
      <c r="Q149" s="2">
        <v>175</v>
      </c>
      <c r="R149" s="2">
        <v>158.19999999999999</v>
      </c>
      <c r="S149" s="2">
        <v>165.8</v>
      </c>
      <c r="T149" s="2">
        <v>166.1</v>
      </c>
      <c r="U149" s="2">
        <v>179.2</v>
      </c>
    </row>
    <row r="150" spans="1:21" x14ac:dyDescent="0.25">
      <c r="A150" s="6" t="s">
        <v>42</v>
      </c>
      <c r="B150">
        <v>91.7</v>
      </c>
      <c r="C150" s="2">
        <v>214.9</v>
      </c>
      <c r="D150" s="2">
        <v>177.7</v>
      </c>
      <c r="E150" s="2">
        <v>191.5</v>
      </c>
      <c r="F150" s="2">
        <v>183.3</v>
      </c>
      <c r="G150" s="2">
        <v>175.5</v>
      </c>
      <c r="H150" s="2">
        <v>158.80000000000001</v>
      </c>
      <c r="I150" s="2">
        <v>166.3</v>
      </c>
      <c r="J150" s="2">
        <v>166.8</v>
      </c>
      <c r="K150" s="2">
        <v>180</v>
      </c>
      <c r="L150">
        <v>91.7</v>
      </c>
      <c r="M150" s="2">
        <v>214.9</v>
      </c>
      <c r="N150" s="2">
        <v>177.7</v>
      </c>
      <c r="O150" s="2">
        <v>191.5</v>
      </c>
      <c r="P150" s="2">
        <v>183.3</v>
      </c>
      <c r="Q150" s="2">
        <v>175.5</v>
      </c>
      <c r="R150" s="2">
        <v>158.80000000000001</v>
      </c>
      <c r="S150" s="2">
        <v>166.3</v>
      </c>
      <c r="T150" s="2">
        <v>166.8</v>
      </c>
      <c r="U150" s="2">
        <v>180</v>
      </c>
    </row>
    <row r="151" spans="1:21" x14ac:dyDescent="0.25">
      <c r="A151" s="6" t="s">
        <v>43</v>
      </c>
      <c r="B151">
        <v>87.55</v>
      </c>
      <c r="C151" s="2">
        <v>213.4</v>
      </c>
      <c r="D151" s="2">
        <v>180</v>
      </c>
      <c r="E151" s="2">
        <v>192.4</v>
      </c>
      <c r="F151" s="2">
        <v>181.3</v>
      </c>
      <c r="G151" s="2">
        <v>176.7</v>
      </c>
      <c r="H151" s="2">
        <v>158.9</v>
      </c>
      <c r="I151" s="2">
        <v>166.7</v>
      </c>
      <c r="J151" s="2">
        <v>167.4</v>
      </c>
      <c r="K151" s="2">
        <v>180.3</v>
      </c>
      <c r="L151">
        <v>87.55</v>
      </c>
      <c r="M151" s="2">
        <v>213.4</v>
      </c>
      <c r="N151" s="2">
        <v>180</v>
      </c>
      <c r="O151" s="2">
        <v>192.4</v>
      </c>
      <c r="P151" s="2">
        <v>181.3</v>
      </c>
      <c r="Q151" s="2">
        <v>176.7</v>
      </c>
      <c r="R151" s="2">
        <v>158.9</v>
      </c>
      <c r="S151" s="2">
        <v>166.7</v>
      </c>
      <c r="T151" s="2">
        <v>167.4</v>
      </c>
      <c r="U151" s="2">
        <v>180.3</v>
      </c>
    </row>
    <row r="152" spans="1:21" x14ac:dyDescent="0.25">
      <c r="A152" s="6" t="s">
        <v>44</v>
      </c>
      <c r="B152">
        <v>78.099999999999994</v>
      </c>
      <c r="C152" s="2">
        <v>212.9</v>
      </c>
      <c r="D152" s="2">
        <v>179.1</v>
      </c>
      <c r="E152" s="2">
        <v>193.3</v>
      </c>
      <c r="F152" s="2">
        <v>178.6</v>
      </c>
      <c r="G152" s="2">
        <v>177.7</v>
      </c>
      <c r="H152" s="2">
        <v>159.4</v>
      </c>
      <c r="I152" s="2">
        <v>167.1</v>
      </c>
      <c r="J152" s="2">
        <v>168.2</v>
      </c>
      <c r="K152" s="2">
        <v>180.6</v>
      </c>
      <c r="L152">
        <v>78.099999999999994</v>
      </c>
      <c r="M152" s="2">
        <v>212.9</v>
      </c>
      <c r="N152" s="2">
        <v>179.1</v>
      </c>
      <c r="O152" s="2">
        <v>193.3</v>
      </c>
      <c r="P152" s="2">
        <v>178.6</v>
      </c>
      <c r="Q152" s="2">
        <v>177.7</v>
      </c>
      <c r="R152" s="2">
        <v>159.4</v>
      </c>
      <c r="S152" s="2">
        <v>167.1</v>
      </c>
      <c r="T152" s="2">
        <v>168.2</v>
      </c>
      <c r="U152" s="2">
        <v>180.6</v>
      </c>
    </row>
    <row r="153" spans="1:21" x14ac:dyDescent="0.25">
      <c r="A153" s="5">
        <v>2023</v>
      </c>
      <c r="B153">
        <v>163.19999999999999</v>
      </c>
      <c r="C153" s="2">
        <v>427.4</v>
      </c>
      <c r="D153" s="2">
        <v>350.2</v>
      </c>
      <c r="E153" s="2">
        <v>390.9</v>
      </c>
      <c r="F153" s="2">
        <v>360.2</v>
      </c>
      <c r="G153" s="2">
        <v>359</v>
      </c>
      <c r="H153" s="2">
        <v>319.3</v>
      </c>
      <c r="I153" s="2">
        <v>336.20000000000005</v>
      </c>
      <c r="J153" s="2">
        <v>338.9</v>
      </c>
      <c r="K153" s="2">
        <v>362.9</v>
      </c>
      <c r="L153">
        <v>163.19999999999999</v>
      </c>
      <c r="M153" s="2">
        <v>427.4</v>
      </c>
      <c r="N153" s="2">
        <v>350.2</v>
      </c>
      <c r="O153" s="2">
        <v>390.9</v>
      </c>
      <c r="P153" s="2">
        <v>360.2</v>
      </c>
      <c r="Q153" s="2">
        <v>359</v>
      </c>
      <c r="R153" s="2">
        <v>319.3</v>
      </c>
      <c r="S153" s="2">
        <v>336.20000000000005</v>
      </c>
      <c r="T153" s="2">
        <v>338.9</v>
      </c>
      <c r="U153" s="2">
        <v>362.9</v>
      </c>
    </row>
    <row r="154" spans="1:21" x14ac:dyDescent="0.25">
      <c r="A154" s="6" t="s">
        <v>31</v>
      </c>
      <c r="B154">
        <v>80.92</v>
      </c>
      <c r="C154" s="2">
        <v>215.2</v>
      </c>
      <c r="D154" s="2">
        <v>178</v>
      </c>
      <c r="E154" s="2">
        <v>194.3</v>
      </c>
      <c r="F154" s="2">
        <v>179.5</v>
      </c>
      <c r="G154" s="2">
        <v>178.7</v>
      </c>
      <c r="H154" s="2">
        <v>159.5</v>
      </c>
      <c r="I154" s="2">
        <v>167.8</v>
      </c>
      <c r="J154" s="2">
        <v>168.9</v>
      </c>
      <c r="K154" s="2">
        <v>180.1</v>
      </c>
      <c r="L154">
        <v>80.92</v>
      </c>
      <c r="M154" s="2">
        <v>215.2</v>
      </c>
      <c r="N154" s="2">
        <v>178</v>
      </c>
      <c r="O154" s="2">
        <v>194.3</v>
      </c>
      <c r="P154" s="2">
        <v>179.5</v>
      </c>
      <c r="Q154" s="2">
        <v>178.7</v>
      </c>
      <c r="R154" s="2">
        <v>159.5</v>
      </c>
      <c r="S154" s="2">
        <v>167.8</v>
      </c>
      <c r="T154" s="2">
        <v>168.9</v>
      </c>
      <c r="U154" s="2">
        <v>180.1</v>
      </c>
    </row>
    <row r="155" spans="1:21" x14ac:dyDescent="0.25">
      <c r="A155" s="6" t="s">
        <v>34</v>
      </c>
      <c r="B155">
        <v>82.28</v>
      </c>
      <c r="C155" s="2">
        <v>212.2</v>
      </c>
      <c r="D155" s="2">
        <v>172.2</v>
      </c>
      <c r="E155" s="2">
        <v>196.6</v>
      </c>
      <c r="F155" s="2">
        <v>180.7</v>
      </c>
      <c r="G155" s="2">
        <v>180.3</v>
      </c>
      <c r="H155" s="2">
        <v>159.80000000000001</v>
      </c>
      <c r="I155" s="2">
        <v>168.4</v>
      </c>
      <c r="J155" s="2">
        <v>170</v>
      </c>
      <c r="K155" s="2">
        <v>182.8</v>
      </c>
      <c r="L155">
        <v>82.28</v>
      </c>
      <c r="M155" s="2">
        <v>212.2</v>
      </c>
      <c r="N155" s="2">
        <v>172.2</v>
      </c>
      <c r="O155" s="2">
        <v>196.6</v>
      </c>
      <c r="P155" s="2">
        <v>180.7</v>
      </c>
      <c r="Q155" s="2">
        <v>180.3</v>
      </c>
      <c r="R155" s="2">
        <v>159.80000000000001</v>
      </c>
      <c r="S155" s="2">
        <v>168.4</v>
      </c>
      <c r="T155" s="2">
        <v>170</v>
      </c>
      <c r="U155" s="2">
        <v>182.8</v>
      </c>
    </row>
    <row r="156" spans="1:21" x14ac:dyDescent="0.25">
      <c r="A156" s="5" t="s">
        <v>52</v>
      </c>
      <c r="B156">
        <v>2169.84</v>
      </c>
      <c r="C156" s="2">
        <v>5430.7999999999984</v>
      </c>
      <c r="D156" s="2">
        <v>4521</v>
      </c>
      <c r="E156" s="2">
        <v>4707.4000000000005</v>
      </c>
      <c r="F156" s="2">
        <v>4485.0000000000009</v>
      </c>
      <c r="G156" s="2">
        <v>4313.1999999999989</v>
      </c>
      <c r="H156" s="2">
        <v>3964.9</v>
      </c>
      <c r="I156" s="2">
        <v>4121.8999999999996</v>
      </c>
      <c r="J156" s="2">
        <v>4149</v>
      </c>
      <c r="K156" s="2">
        <v>4326.9000000000005</v>
      </c>
      <c r="L156">
        <v>2169.84</v>
      </c>
      <c r="M156" s="2">
        <v>5430.7999999999984</v>
      </c>
      <c r="N156" s="2">
        <v>4521</v>
      </c>
      <c r="O156" s="2">
        <v>4707.4000000000005</v>
      </c>
      <c r="P156" s="2">
        <v>4485.0000000000009</v>
      </c>
      <c r="Q156" s="2">
        <v>4313.1999999999989</v>
      </c>
      <c r="R156" s="2">
        <v>3964.9</v>
      </c>
      <c r="S156" s="2">
        <v>4121.8999999999996</v>
      </c>
      <c r="T156" s="2">
        <v>4149</v>
      </c>
      <c r="U156" s="2">
        <v>4326.9000000000005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72671-ADD4-49F5-9119-543E0660B369}">
  <dimension ref="A1:BO47"/>
  <sheetViews>
    <sheetView zoomScale="69" zoomScaleNormal="69" workbookViewId="0">
      <selection sqref="A1:L1"/>
    </sheetView>
  </sheetViews>
  <sheetFormatPr defaultRowHeight="15" x14ac:dyDescent="0.25"/>
  <cols>
    <col min="1" max="16384" width="9.140625" style="3"/>
  </cols>
  <sheetData>
    <row r="1" spans="1:67" ht="15.75" x14ac:dyDescent="0.25">
      <c r="A1" s="24" t="s">
        <v>127</v>
      </c>
      <c r="B1" s="24"/>
      <c r="C1" s="24"/>
      <c r="D1" s="24"/>
      <c r="E1" s="24"/>
      <c r="F1" s="24"/>
      <c r="G1" s="24"/>
      <c r="H1" s="24"/>
      <c r="I1" s="24"/>
      <c r="J1" s="24"/>
      <c r="K1" s="24"/>
      <c r="L1" s="24"/>
      <c r="M1" s="24" t="s">
        <v>128</v>
      </c>
      <c r="N1" s="24"/>
      <c r="O1" s="24"/>
      <c r="P1" s="24"/>
      <c r="Q1" s="24"/>
      <c r="R1" s="24"/>
      <c r="S1" s="24"/>
      <c r="T1" s="24"/>
      <c r="U1" s="24"/>
      <c r="V1" s="24"/>
      <c r="W1" s="24"/>
      <c r="X1" s="24"/>
      <c r="Y1" s="24"/>
      <c r="Z1" s="24"/>
      <c r="AA1" s="24"/>
      <c r="AB1" s="24"/>
      <c r="AC1" s="24" t="s">
        <v>129</v>
      </c>
      <c r="AD1" s="24"/>
      <c r="AE1" s="24"/>
      <c r="AF1" s="24"/>
      <c r="AG1" s="24"/>
      <c r="AH1" s="24"/>
      <c r="AI1" s="24"/>
      <c r="AJ1" s="24"/>
      <c r="AK1" s="24"/>
      <c r="AL1" s="24"/>
      <c r="AM1" s="24"/>
      <c r="AN1" s="24"/>
      <c r="AR1" s="24" t="s">
        <v>130</v>
      </c>
      <c r="AS1" s="25"/>
      <c r="AT1" s="25"/>
      <c r="AU1" s="25"/>
      <c r="AV1" s="25"/>
      <c r="AW1" s="25"/>
      <c r="AX1" s="25"/>
      <c r="AY1" s="25"/>
      <c r="AZ1" s="25"/>
      <c r="BA1" s="25"/>
      <c r="BB1" s="25"/>
      <c r="BC1" s="25"/>
      <c r="BD1" s="24" t="s">
        <v>131</v>
      </c>
      <c r="BE1" s="25"/>
      <c r="BF1" s="25"/>
      <c r="BG1" s="25"/>
      <c r="BH1" s="25"/>
      <c r="BI1" s="25"/>
      <c r="BJ1" s="25"/>
      <c r="BK1" s="25"/>
      <c r="BL1" s="25"/>
      <c r="BM1" s="25"/>
      <c r="BN1" s="25"/>
      <c r="BO1" s="25"/>
    </row>
    <row r="47" spans="61:61" x14ac:dyDescent="0.25">
      <c r="BI47" t="s">
        <v>122</v>
      </c>
    </row>
  </sheetData>
  <mergeCells count="5">
    <mergeCell ref="BD1:BO1"/>
    <mergeCell ref="A1:L1"/>
    <mergeCell ref="M1:AB1"/>
    <mergeCell ref="AC1:AN1"/>
    <mergeCell ref="AR1:BC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2324F-9BD9-4A5F-82B4-41F2967F940C}">
  <dimension ref="A1:S81"/>
  <sheetViews>
    <sheetView tabSelected="1" workbookViewId="0">
      <selection activeCell="M14" sqref="M14"/>
    </sheetView>
  </sheetViews>
  <sheetFormatPr defaultRowHeight="15" x14ac:dyDescent="0.25"/>
  <cols>
    <col min="1" max="1" width="13.7109375" style="11" customWidth="1"/>
    <col min="16" max="16" width="19.140625" customWidth="1"/>
    <col min="18" max="18" width="14" customWidth="1"/>
  </cols>
  <sheetData>
    <row r="1" spans="1:2" ht="15.75" x14ac:dyDescent="0.25">
      <c r="A1" s="10" t="s">
        <v>106</v>
      </c>
      <c r="B1" s="9" t="s">
        <v>107</v>
      </c>
    </row>
    <row r="2" spans="1:2" ht="15.75" x14ac:dyDescent="0.25">
      <c r="A2" s="10">
        <v>44197</v>
      </c>
      <c r="B2" s="9">
        <v>54.79</v>
      </c>
    </row>
    <row r="3" spans="1:2" ht="15.75" x14ac:dyDescent="0.25">
      <c r="A3" s="10">
        <v>44228</v>
      </c>
      <c r="B3" s="9">
        <v>61.22</v>
      </c>
    </row>
    <row r="4" spans="1:2" ht="15.75" x14ac:dyDescent="0.25">
      <c r="A4" s="10">
        <v>44256</v>
      </c>
      <c r="B4" s="9">
        <v>64.73</v>
      </c>
    </row>
    <row r="5" spans="1:2" ht="15.75" x14ac:dyDescent="0.25">
      <c r="A5" s="10">
        <v>44287</v>
      </c>
      <c r="B5" s="9">
        <v>63.4</v>
      </c>
    </row>
    <row r="6" spans="1:2" ht="15.75" x14ac:dyDescent="0.25">
      <c r="A6" s="10">
        <v>44317</v>
      </c>
      <c r="B6" s="9">
        <v>66.95</v>
      </c>
    </row>
    <row r="7" spans="1:2" ht="15.75" x14ac:dyDescent="0.25">
      <c r="A7" s="10">
        <v>44348</v>
      </c>
      <c r="B7" s="9">
        <v>71.98</v>
      </c>
    </row>
    <row r="8" spans="1:2" ht="15.75" x14ac:dyDescent="0.25">
      <c r="A8" s="10">
        <v>44378</v>
      </c>
      <c r="B8" s="9">
        <v>73.540000000000006</v>
      </c>
    </row>
    <row r="9" spans="1:2" ht="15.75" x14ac:dyDescent="0.25">
      <c r="A9" s="10">
        <v>44409</v>
      </c>
      <c r="B9" s="9">
        <v>69.8</v>
      </c>
    </row>
    <row r="10" spans="1:2" ht="15.75" x14ac:dyDescent="0.25">
      <c r="A10" s="10">
        <v>44440</v>
      </c>
      <c r="B10" s="9">
        <v>73.13</v>
      </c>
    </row>
    <row r="11" spans="1:2" ht="15.75" x14ac:dyDescent="0.25">
      <c r="A11" s="10">
        <v>44470</v>
      </c>
      <c r="B11" s="9">
        <v>82.11</v>
      </c>
    </row>
    <row r="12" spans="1:2" ht="15.75" x14ac:dyDescent="0.25">
      <c r="A12" s="10">
        <v>44501</v>
      </c>
      <c r="B12" s="9">
        <v>80.64</v>
      </c>
    </row>
    <row r="13" spans="1:2" ht="15.75" x14ac:dyDescent="0.25">
      <c r="A13" s="10">
        <v>44531</v>
      </c>
      <c r="B13" s="9">
        <v>73.3</v>
      </c>
    </row>
    <row r="14" spans="1:2" ht="15.75" x14ac:dyDescent="0.25">
      <c r="A14" s="10">
        <v>44562</v>
      </c>
      <c r="B14" s="9">
        <v>84.67</v>
      </c>
    </row>
    <row r="15" spans="1:2" ht="15.75" x14ac:dyDescent="0.25">
      <c r="A15" s="10">
        <v>44593</v>
      </c>
      <c r="B15" s="9">
        <v>94.07</v>
      </c>
    </row>
    <row r="16" spans="1:2" ht="15.75" x14ac:dyDescent="0.25">
      <c r="A16" s="10">
        <v>44621</v>
      </c>
      <c r="B16" s="9">
        <v>112.87</v>
      </c>
    </row>
    <row r="17" spans="1:19" ht="15.75" x14ac:dyDescent="0.25">
      <c r="A17" s="10">
        <v>44652</v>
      </c>
      <c r="B17" s="9">
        <v>102.97</v>
      </c>
    </row>
    <row r="18" spans="1:19" ht="15.75" x14ac:dyDescent="0.25">
      <c r="A18" s="10">
        <v>44682</v>
      </c>
      <c r="B18" s="9">
        <v>109.51</v>
      </c>
    </row>
    <row r="19" spans="1:19" ht="15.75" x14ac:dyDescent="0.25">
      <c r="A19" s="10">
        <v>44713</v>
      </c>
      <c r="B19" s="9">
        <v>116.01</v>
      </c>
    </row>
    <row r="20" spans="1:19" ht="15.75" x14ac:dyDescent="0.25">
      <c r="A20" s="10">
        <v>44743</v>
      </c>
      <c r="B20" s="9">
        <v>105.49</v>
      </c>
    </row>
    <row r="21" spans="1:19" ht="15.75" x14ac:dyDescent="0.25">
      <c r="A21" s="10">
        <v>44774</v>
      </c>
      <c r="B21" s="9">
        <v>97.4</v>
      </c>
    </row>
    <row r="22" spans="1:19" ht="15.75" x14ac:dyDescent="0.25">
      <c r="A22" s="10">
        <v>44805</v>
      </c>
      <c r="B22" s="9">
        <v>90.71</v>
      </c>
    </row>
    <row r="23" spans="1:19" ht="15.75" x14ac:dyDescent="0.25">
      <c r="A23" s="10">
        <v>44835</v>
      </c>
      <c r="B23" s="9">
        <v>91.7</v>
      </c>
    </row>
    <row r="24" spans="1:19" ht="15.75" x14ac:dyDescent="0.25">
      <c r="A24" s="10">
        <v>44866</v>
      </c>
      <c r="B24" s="9">
        <v>87.55</v>
      </c>
    </row>
    <row r="25" spans="1:19" ht="15.75" x14ac:dyDescent="0.25">
      <c r="A25" s="10">
        <v>44896</v>
      </c>
      <c r="B25" s="9">
        <v>78.099999999999994</v>
      </c>
    </row>
    <row r="26" spans="1:19" ht="15.75" x14ac:dyDescent="0.25">
      <c r="A26" s="10">
        <v>44927</v>
      </c>
      <c r="B26" s="9">
        <v>80.92</v>
      </c>
    </row>
    <row r="27" spans="1:19" ht="15.75" x14ac:dyDescent="0.25">
      <c r="A27" s="10">
        <v>44958</v>
      </c>
      <c r="B27" s="9">
        <v>82.28</v>
      </c>
    </row>
    <row r="30" spans="1:19" x14ac:dyDescent="0.25">
      <c r="A30" s="19" t="s">
        <v>0</v>
      </c>
      <c r="B30" s="12" t="s">
        <v>1</v>
      </c>
      <c r="C30" s="12" t="s">
        <v>2</v>
      </c>
      <c r="D30" s="12" t="s">
        <v>3</v>
      </c>
      <c r="E30" s="12" t="s">
        <v>4</v>
      </c>
      <c r="F30" s="12" t="s">
        <v>5</v>
      </c>
      <c r="G30" s="12" t="s">
        <v>6</v>
      </c>
      <c r="H30" s="12" t="s">
        <v>7</v>
      </c>
      <c r="I30" s="12" t="s">
        <v>8</v>
      </c>
      <c r="J30" s="12" t="s">
        <v>9</v>
      </c>
      <c r="K30" s="12" t="s">
        <v>10</v>
      </c>
      <c r="L30" s="12" t="s">
        <v>11</v>
      </c>
      <c r="M30" s="12" t="s">
        <v>12</v>
      </c>
      <c r="N30" s="12" t="s">
        <v>13</v>
      </c>
      <c r="O30" s="12" t="s">
        <v>14</v>
      </c>
      <c r="P30" s="12" t="s">
        <v>15</v>
      </c>
      <c r="Q30" s="22" t="s">
        <v>125</v>
      </c>
      <c r="R30" s="22" t="s">
        <v>126</v>
      </c>
      <c r="S30" s="22"/>
    </row>
    <row r="31" spans="1:19" x14ac:dyDescent="0.25">
      <c r="A31" s="14" t="s">
        <v>30</v>
      </c>
      <c r="B31" s="15">
        <v>2022</v>
      </c>
      <c r="C31" s="15" t="s">
        <v>37</v>
      </c>
      <c r="D31" s="20">
        <v>152.9</v>
      </c>
      <c r="E31" s="20">
        <v>214.7</v>
      </c>
      <c r="F31" s="20">
        <v>161.4</v>
      </c>
      <c r="G31" s="20">
        <v>164.6</v>
      </c>
      <c r="H31" s="20">
        <v>209.9</v>
      </c>
      <c r="I31" s="20">
        <v>168</v>
      </c>
      <c r="J31" s="20">
        <v>160.4</v>
      </c>
      <c r="K31" s="20">
        <v>165</v>
      </c>
      <c r="L31" s="20">
        <v>118.9</v>
      </c>
      <c r="M31" s="20">
        <v>186.6</v>
      </c>
      <c r="N31" s="20">
        <v>173.2</v>
      </c>
      <c r="O31" s="20">
        <v>180.4</v>
      </c>
      <c r="P31" s="20">
        <v>170.8</v>
      </c>
      <c r="Q31" s="2">
        <f>AVERAGE(D31:P31)</f>
        <v>171.2923076923077</v>
      </c>
      <c r="R31" s="23">
        <v>0</v>
      </c>
    </row>
    <row r="32" spans="1:19" x14ac:dyDescent="0.25">
      <c r="A32" s="16" t="s">
        <v>30</v>
      </c>
      <c r="B32" s="17">
        <v>2022</v>
      </c>
      <c r="C32" s="17" t="s">
        <v>38</v>
      </c>
      <c r="D32" s="21">
        <v>153.80000000000001</v>
      </c>
      <c r="E32" s="21">
        <v>217.2</v>
      </c>
      <c r="F32" s="21">
        <v>169.6</v>
      </c>
      <c r="G32" s="21">
        <v>165.4</v>
      </c>
      <c r="H32" s="21">
        <v>208.1</v>
      </c>
      <c r="I32" s="21">
        <v>165.8</v>
      </c>
      <c r="J32" s="21">
        <v>167.3</v>
      </c>
      <c r="K32" s="21">
        <v>164.6</v>
      </c>
      <c r="L32" s="21">
        <v>119.1</v>
      </c>
      <c r="M32" s="21">
        <v>188.9</v>
      </c>
      <c r="N32" s="21">
        <v>174.2</v>
      </c>
      <c r="O32" s="21">
        <v>181.9</v>
      </c>
      <c r="P32" s="21">
        <v>172.4</v>
      </c>
      <c r="Q32" s="2">
        <f t="shared" ref="Q32:Q43" si="0">AVERAGE(D32:P32)</f>
        <v>172.94615384615386</v>
      </c>
      <c r="R32" s="2">
        <f>(Q32-Q31)/Q31</f>
        <v>9.6551104724268387E-3</v>
      </c>
    </row>
    <row r="33" spans="1:18" x14ac:dyDescent="0.25">
      <c r="A33" s="14" t="s">
        <v>30</v>
      </c>
      <c r="B33" s="15">
        <v>2022</v>
      </c>
      <c r="C33" s="15" t="s">
        <v>39</v>
      </c>
      <c r="D33" s="20">
        <v>155.19999999999999</v>
      </c>
      <c r="E33" s="20">
        <v>210.8</v>
      </c>
      <c r="F33" s="20">
        <v>174.3</v>
      </c>
      <c r="G33" s="20">
        <v>166.3</v>
      </c>
      <c r="H33" s="20">
        <v>202.2</v>
      </c>
      <c r="I33" s="20">
        <v>169.6</v>
      </c>
      <c r="J33" s="20">
        <v>168.6</v>
      </c>
      <c r="K33" s="20">
        <v>164.4</v>
      </c>
      <c r="L33" s="20">
        <v>119.2</v>
      </c>
      <c r="M33" s="20">
        <v>191.8</v>
      </c>
      <c r="N33" s="20">
        <v>174.5</v>
      </c>
      <c r="O33" s="20">
        <v>183.1</v>
      </c>
      <c r="P33" s="20">
        <v>172.5</v>
      </c>
      <c r="Q33" s="2">
        <f t="shared" si="0"/>
        <v>173.26923076923077</v>
      </c>
      <c r="R33" s="2">
        <f t="shared" ref="R33:R43" si="1">(Q33-Q32)/Q32</f>
        <v>1.868078103455876E-3</v>
      </c>
    </row>
    <row r="34" spans="1:18" x14ac:dyDescent="0.25">
      <c r="A34" s="16" t="s">
        <v>30</v>
      </c>
      <c r="B34" s="17">
        <v>2022</v>
      </c>
      <c r="C34" s="17" t="s">
        <v>40</v>
      </c>
      <c r="D34" s="21">
        <v>159.5</v>
      </c>
      <c r="E34" s="21">
        <v>204.1</v>
      </c>
      <c r="F34" s="21">
        <v>168.3</v>
      </c>
      <c r="G34" s="21">
        <v>167.9</v>
      </c>
      <c r="H34" s="21">
        <v>198.1</v>
      </c>
      <c r="I34" s="21">
        <v>169.2</v>
      </c>
      <c r="J34" s="21">
        <v>173.1</v>
      </c>
      <c r="K34" s="21">
        <v>167.1</v>
      </c>
      <c r="L34" s="21">
        <v>120.2</v>
      </c>
      <c r="M34" s="21">
        <v>195.6</v>
      </c>
      <c r="N34" s="21">
        <v>174.8</v>
      </c>
      <c r="O34" s="21">
        <v>184</v>
      </c>
      <c r="P34" s="21">
        <v>173.9</v>
      </c>
      <c r="Q34" s="2">
        <f t="shared" si="0"/>
        <v>173.5230769230769</v>
      </c>
      <c r="R34" s="2">
        <f t="shared" si="1"/>
        <v>1.465038845726811E-3</v>
      </c>
    </row>
    <row r="35" spans="1:18" x14ac:dyDescent="0.25">
      <c r="A35" s="14" t="s">
        <v>30</v>
      </c>
      <c r="B35" s="15">
        <v>2022</v>
      </c>
      <c r="C35" s="15" t="s">
        <v>41</v>
      </c>
      <c r="D35" s="20">
        <v>162.9</v>
      </c>
      <c r="E35" s="20">
        <v>206.7</v>
      </c>
      <c r="F35" s="20">
        <v>169</v>
      </c>
      <c r="G35" s="20">
        <v>169.5</v>
      </c>
      <c r="H35" s="20">
        <v>194.1</v>
      </c>
      <c r="I35" s="20">
        <v>164.1</v>
      </c>
      <c r="J35" s="20">
        <v>176.9</v>
      </c>
      <c r="K35" s="20">
        <v>169</v>
      </c>
      <c r="L35" s="20">
        <v>120.8</v>
      </c>
      <c r="M35" s="20">
        <v>199.1</v>
      </c>
      <c r="N35" s="20">
        <v>175.4</v>
      </c>
      <c r="O35" s="20">
        <v>184.8</v>
      </c>
      <c r="P35" s="20">
        <v>175.5</v>
      </c>
      <c r="Q35" s="2">
        <f t="shared" si="0"/>
        <v>174.44615384615386</v>
      </c>
      <c r="R35" s="2">
        <f t="shared" si="1"/>
        <v>5.3196205337354878E-3</v>
      </c>
    </row>
    <row r="36" spans="1:18" x14ac:dyDescent="0.25">
      <c r="A36" s="16" t="s">
        <v>30</v>
      </c>
      <c r="B36" s="17">
        <v>2022</v>
      </c>
      <c r="C36" s="17" t="s">
        <v>42</v>
      </c>
      <c r="D36" s="21">
        <v>164.7</v>
      </c>
      <c r="E36" s="21">
        <v>208.8</v>
      </c>
      <c r="F36" s="21">
        <v>170.3</v>
      </c>
      <c r="G36" s="21">
        <v>170.9</v>
      </c>
      <c r="H36" s="21">
        <v>191.6</v>
      </c>
      <c r="I36" s="21">
        <v>162.19999999999999</v>
      </c>
      <c r="J36" s="21">
        <v>184.8</v>
      </c>
      <c r="K36" s="21">
        <v>169.7</v>
      </c>
      <c r="L36" s="21">
        <v>121.1</v>
      </c>
      <c r="M36" s="21">
        <v>201.6</v>
      </c>
      <c r="N36" s="21">
        <v>175.8</v>
      </c>
      <c r="O36" s="21">
        <v>185.6</v>
      </c>
      <c r="P36" s="21">
        <v>177.4</v>
      </c>
      <c r="Q36" s="2">
        <f t="shared" si="0"/>
        <v>175.73076923076923</v>
      </c>
      <c r="R36" s="2">
        <f t="shared" si="1"/>
        <v>7.3639650762852681E-3</v>
      </c>
    </row>
    <row r="37" spans="1:18" x14ac:dyDescent="0.25">
      <c r="A37" s="14" t="s">
        <v>30</v>
      </c>
      <c r="B37" s="15">
        <v>2022</v>
      </c>
      <c r="C37" s="15" t="s">
        <v>43</v>
      </c>
      <c r="D37" s="20">
        <v>166.9</v>
      </c>
      <c r="E37" s="20">
        <v>207.2</v>
      </c>
      <c r="F37" s="20">
        <v>180.2</v>
      </c>
      <c r="G37" s="20">
        <v>172.3</v>
      </c>
      <c r="H37" s="20">
        <v>194</v>
      </c>
      <c r="I37" s="20">
        <v>159.1</v>
      </c>
      <c r="J37" s="20">
        <v>171.6</v>
      </c>
      <c r="K37" s="20">
        <v>170.2</v>
      </c>
      <c r="L37" s="20">
        <v>121.5</v>
      </c>
      <c r="M37" s="20">
        <v>204.8</v>
      </c>
      <c r="N37" s="20">
        <v>176.4</v>
      </c>
      <c r="O37" s="20">
        <v>186.9</v>
      </c>
      <c r="P37" s="20">
        <v>176.6</v>
      </c>
      <c r="Q37" s="2">
        <f t="shared" si="0"/>
        <v>175.97692307692307</v>
      </c>
      <c r="R37" s="2">
        <f t="shared" si="1"/>
        <v>1.4007441453272001E-3</v>
      </c>
    </row>
    <row r="38" spans="1:18" x14ac:dyDescent="0.25">
      <c r="A38" s="16" t="s">
        <v>30</v>
      </c>
      <c r="B38" s="17">
        <v>2022</v>
      </c>
      <c r="C38" s="17" t="s">
        <v>44</v>
      </c>
      <c r="D38" s="21">
        <v>168.8</v>
      </c>
      <c r="E38" s="21">
        <v>206.9</v>
      </c>
      <c r="F38" s="21">
        <v>189.1</v>
      </c>
      <c r="G38" s="21">
        <v>173.4</v>
      </c>
      <c r="H38" s="21">
        <v>193.9</v>
      </c>
      <c r="I38" s="21">
        <v>156.69999999999999</v>
      </c>
      <c r="J38" s="21">
        <v>150.19999999999999</v>
      </c>
      <c r="K38" s="21">
        <v>170.5</v>
      </c>
      <c r="L38" s="21">
        <v>121.2</v>
      </c>
      <c r="M38" s="21">
        <v>207.5</v>
      </c>
      <c r="N38" s="21">
        <v>176.8</v>
      </c>
      <c r="O38" s="21">
        <v>187.7</v>
      </c>
      <c r="P38" s="21">
        <v>174.4</v>
      </c>
      <c r="Q38" s="2">
        <f t="shared" si="0"/>
        <v>175.16153846153844</v>
      </c>
      <c r="R38" s="2">
        <f t="shared" si="1"/>
        <v>-4.6334746688814939E-3</v>
      </c>
    </row>
    <row r="39" spans="1:18" x14ac:dyDescent="0.25">
      <c r="A39" s="14" t="s">
        <v>30</v>
      </c>
      <c r="B39" s="15">
        <v>2023</v>
      </c>
      <c r="C39" s="15" t="s">
        <v>31</v>
      </c>
      <c r="D39" s="20">
        <v>174</v>
      </c>
      <c r="E39" s="20">
        <v>208.3</v>
      </c>
      <c r="F39" s="20">
        <v>192.9</v>
      </c>
      <c r="G39" s="20">
        <v>174.3</v>
      </c>
      <c r="H39" s="20">
        <v>192.6</v>
      </c>
      <c r="I39" s="20">
        <v>156.30000000000001</v>
      </c>
      <c r="J39" s="20">
        <v>142.9</v>
      </c>
      <c r="K39" s="20">
        <v>170.7</v>
      </c>
      <c r="L39" s="20">
        <v>120.3</v>
      </c>
      <c r="M39" s="20">
        <v>210.5</v>
      </c>
      <c r="N39" s="20">
        <v>176.9</v>
      </c>
      <c r="O39" s="20">
        <v>188.5</v>
      </c>
      <c r="P39" s="20">
        <v>175</v>
      </c>
      <c r="Q39" s="2">
        <f t="shared" si="0"/>
        <v>175.63076923076926</v>
      </c>
      <c r="R39" s="2">
        <f t="shared" si="1"/>
        <v>2.6788459004877469E-3</v>
      </c>
    </row>
    <row r="40" spans="1:18" x14ac:dyDescent="0.25">
      <c r="A40" s="16" t="s">
        <v>30</v>
      </c>
      <c r="B40" s="17">
        <v>2023</v>
      </c>
      <c r="C40" s="17" t="s">
        <v>34</v>
      </c>
      <c r="D40" s="21">
        <v>174.2</v>
      </c>
      <c r="E40" s="21">
        <v>205.2</v>
      </c>
      <c r="F40" s="21">
        <v>173.9</v>
      </c>
      <c r="G40" s="21">
        <v>177</v>
      </c>
      <c r="H40" s="21">
        <v>183.4</v>
      </c>
      <c r="I40" s="21">
        <v>167.2</v>
      </c>
      <c r="J40" s="21">
        <v>140.9</v>
      </c>
      <c r="K40" s="21">
        <v>170.4</v>
      </c>
      <c r="L40" s="21">
        <v>119.1</v>
      </c>
      <c r="M40" s="21">
        <v>212.1</v>
      </c>
      <c r="N40" s="21">
        <v>177.6</v>
      </c>
      <c r="O40" s="21">
        <v>189.9</v>
      </c>
      <c r="P40" s="21">
        <v>174.8</v>
      </c>
      <c r="Q40" s="2">
        <f t="shared" si="0"/>
        <v>174.28461538461536</v>
      </c>
      <c r="R40" s="2">
        <f t="shared" si="1"/>
        <v>-7.6646811492644754E-3</v>
      </c>
    </row>
    <row r="41" spans="1:18" x14ac:dyDescent="0.25">
      <c r="A41" s="14" t="s">
        <v>30</v>
      </c>
      <c r="B41" s="15">
        <v>2023</v>
      </c>
      <c r="C41" s="15" t="s">
        <v>35</v>
      </c>
      <c r="D41" s="20">
        <v>174.3</v>
      </c>
      <c r="E41" s="20">
        <v>205.2</v>
      </c>
      <c r="F41" s="20">
        <v>173.9</v>
      </c>
      <c r="G41" s="20">
        <v>177</v>
      </c>
      <c r="H41" s="20">
        <v>183.3</v>
      </c>
      <c r="I41" s="20">
        <v>167.2</v>
      </c>
      <c r="J41" s="20">
        <v>140.9</v>
      </c>
      <c r="K41" s="20">
        <v>170.5</v>
      </c>
      <c r="L41" s="20">
        <v>119.1</v>
      </c>
      <c r="M41" s="20">
        <v>212.1</v>
      </c>
      <c r="N41" s="20">
        <v>177.6</v>
      </c>
      <c r="O41" s="20">
        <v>189.9</v>
      </c>
      <c r="P41" s="20">
        <v>174.8</v>
      </c>
      <c r="Q41" s="2">
        <f t="shared" si="0"/>
        <v>174.2923076923077</v>
      </c>
      <c r="R41" s="2">
        <f t="shared" si="1"/>
        <v>4.4136469965305305E-5</v>
      </c>
    </row>
    <row r="42" spans="1:18" x14ac:dyDescent="0.25">
      <c r="A42" s="16" t="s">
        <v>30</v>
      </c>
      <c r="B42" s="17">
        <v>2023</v>
      </c>
      <c r="C42" s="17" t="s">
        <v>36</v>
      </c>
      <c r="D42" s="21">
        <v>173.3</v>
      </c>
      <c r="E42" s="21">
        <v>206.9</v>
      </c>
      <c r="F42" s="21">
        <v>167.9</v>
      </c>
      <c r="G42" s="21">
        <v>178.2</v>
      </c>
      <c r="H42" s="21">
        <v>178.5</v>
      </c>
      <c r="I42" s="21">
        <v>173.7</v>
      </c>
      <c r="J42" s="21">
        <v>142.80000000000001</v>
      </c>
      <c r="K42" s="21">
        <v>172.8</v>
      </c>
      <c r="L42" s="21">
        <v>120.4</v>
      </c>
      <c r="M42" s="21">
        <v>215.5</v>
      </c>
      <c r="N42" s="21">
        <v>178.2</v>
      </c>
      <c r="O42" s="21">
        <v>190.5</v>
      </c>
      <c r="P42" s="21">
        <v>175.5</v>
      </c>
      <c r="Q42" s="2">
        <f t="shared" si="0"/>
        <v>174.93846153846152</v>
      </c>
      <c r="R42" s="2">
        <f t="shared" si="1"/>
        <v>3.7072998499424895E-3</v>
      </c>
    </row>
    <row r="43" spans="1:18" x14ac:dyDescent="0.25">
      <c r="A43" s="14" t="s">
        <v>30</v>
      </c>
      <c r="B43" s="15">
        <v>2023</v>
      </c>
      <c r="C43" s="15" t="s">
        <v>37</v>
      </c>
      <c r="D43" s="20">
        <v>173.2</v>
      </c>
      <c r="E43" s="20">
        <v>211.5</v>
      </c>
      <c r="F43" s="20">
        <v>171</v>
      </c>
      <c r="G43" s="20">
        <v>179.6</v>
      </c>
      <c r="H43" s="20">
        <v>173.3</v>
      </c>
      <c r="I43" s="20">
        <v>169</v>
      </c>
      <c r="J43" s="20">
        <v>148.69999999999999</v>
      </c>
      <c r="K43" s="20">
        <v>174.9</v>
      </c>
      <c r="L43" s="20">
        <v>121.9</v>
      </c>
      <c r="M43" s="20">
        <v>221</v>
      </c>
      <c r="N43" s="20">
        <v>178.7</v>
      </c>
      <c r="O43" s="20">
        <v>191.1</v>
      </c>
      <c r="P43" s="20">
        <v>176.8</v>
      </c>
      <c r="Q43" s="2">
        <f t="shared" si="0"/>
        <v>176.20769230769235</v>
      </c>
      <c r="R43" s="2">
        <f t="shared" si="1"/>
        <v>7.2552985665292396E-3</v>
      </c>
    </row>
    <row r="48" spans="1:18" x14ac:dyDescent="0.25">
      <c r="A48" s="19" t="s">
        <v>0</v>
      </c>
      <c r="B48" s="12" t="s">
        <v>1</v>
      </c>
      <c r="C48" s="12" t="s">
        <v>2</v>
      </c>
      <c r="D48" s="12" t="s">
        <v>3</v>
      </c>
      <c r="E48" s="12" t="s">
        <v>4</v>
      </c>
      <c r="F48" s="12" t="s">
        <v>5</v>
      </c>
      <c r="G48" s="12" t="s">
        <v>6</v>
      </c>
      <c r="H48" s="12" t="s">
        <v>7</v>
      </c>
      <c r="I48" s="12" t="s">
        <v>8</v>
      </c>
      <c r="J48" s="12" t="s">
        <v>9</v>
      </c>
      <c r="K48" s="12" t="s">
        <v>10</v>
      </c>
      <c r="L48" s="12" t="s">
        <v>11</v>
      </c>
      <c r="M48" s="12" t="s">
        <v>12</v>
      </c>
      <c r="N48" s="12" t="s">
        <v>13</v>
      </c>
      <c r="O48" s="12" t="s">
        <v>14</v>
      </c>
      <c r="P48" s="12" t="s">
        <v>15</v>
      </c>
      <c r="Q48" s="22" t="s">
        <v>125</v>
      </c>
      <c r="R48" s="22" t="s">
        <v>126</v>
      </c>
    </row>
    <row r="49" spans="1:18" x14ac:dyDescent="0.25">
      <c r="A49" s="14" t="s">
        <v>33</v>
      </c>
      <c r="B49" s="15">
        <v>2022</v>
      </c>
      <c r="C49" s="15" t="s">
        <v>37</v>
      </c>
      <c r="D49" s="20">
        <v>154.1</v>
      </c>
      <c r="E49" s="20">
        <v>217</v>
      </c>
      <c r="F49" s="20">
        <v>162.4</v>
      </c>
      <c r="G49" s="20">
        <v>164.9</v>
      </c>
      <c r="H49" s="20">
        <v>202.4</v>
      </c>
      <c r="I49" s="20">
        <v>171</v>
      </c>
      <c r="J49" s="20">
        <v>174.9</v>
      </c>
      <c r="K49" s="20">
        <v>164.7</v>
      </c>
      <c r="L49" s="20">
        <v>119.7</v>
      </c>
      <c r="M49" s="20">
        <v>184.9</v>
      </c>
      <c r="N49" s="20">
        <v>167.1</v>
      </c>
      <c r="O49" s="20">
        <v>182.5</v>
      </c>
      <c r="P49" s="20">
        <v>173.3</v>
      </c>
      <c r="Q49" s="2">
        <f>AVERAGE(D49:P49)</f>
        <v>172.22307692307697</v>
      </c>
      <c r="R49" s="23">
        <v>0</v>
      </c>
    </row>
    <row r="50" spans="1:18" x14ac:dyDescent="0.25">
      <c r="A50" s="16" t="s">
        <v>33</v>
      </c>
      <c r="B50" s="17">
        <v>2022</v>
      </c>
      <c r="C50" s="17" t="s">
        <v>38</v>
      </c>
      <c r="D50" s="21">
        <v>155</v>
      </c>
      <c r="E50" s="21">
        <v>219.4</v>
      </c>
      <c r="F50" s="21">
        <v>170.8</v>
      </c>
      <c r="G50" s="21">
        <v>165.8</v>
      </c>
      <c r="H50" s="21">
        <v>200.9</v>
      </c>
      <c r="I50" s="21">
        <v>169.7</v>
      </c>
      <c r="J50" s="21">
        <v>182.3</v>
      </c>
      <c r="K50" s="21">
        <v>164.3</v>
      </c>
      <c r="L50" s="21">
        <v>119.9</v>
      </c>
      <c r="M50" s="21">
        <v>187.1</v>
      </c>
      <c r="N50" s="21">
        <v>167.9</v>
      </c>
      <c r="O50" s="21">
        <v>183.9</v>
      </c>
      <c r="P50" s="21">
        <v>174.9</v>
      </c>
      <c r="Q50" s="2">
        <f t="shared" ref="Q50:Q61" si="2">AVERAGE(D50:P50)</f>
        <v>173.99230769230769</v>
      </c>
      <c r="R50" s="2">
        <f>(Q50-Q49)/Q49</f>
        <v>1.0272901871454425E-2</v>
      </c>
    </row>
    <row r="51" spans="1:18" x14ac:dyDescent="0.25">
      <c r="A51" s="14" t="s">
        <v>33</v>
      </c>
      <c r="B51" s="15">
        <v>2022</v>
      </c>
      <c r="C51" s="15" t="s">
        <v>39</v>
      </c>
      <c r="D51" s="20">
        <v>156.5</v>
      </c>
      <c r="E51" s="20">
        <v>213</v>
      </c>
      <c r="F51" s="20">
        <v>175.2</v>
      </c>
      <c r="G51" s="20">
        <v>166.6</v>
      </c>
      <c r="H51" s="20">
        <v>195.8</v>
      </c>
      <c r="I51" s="20">
        <v>174.2</v>
      </c>
      <c r="J51" s="20">
        <v>182.1</v>
      </c>
      <c r="K51" s="20">
        <v>164.3</v>
      </c>
      <c r="L51" s="20">
        <v>120</v>
      </c>
      <c r="M51" s="20">
        <v>190</v>
      </c>
      <c r="N51" s="20">
        <v>168.4</v>
      </c>
      <c r="O51" s="20">
        <v>185.2</v>
      </c>
      <c r="P51" s="20">
        <v>175</v>
      </c>
      <c r="Q51" s="2">
        <f t="shared" si="2"/>
        <v>174.33076923076925</v>
      </c>
      <c r="R51" s="2">
        <f>(Q51-Q50)/Q50</f>
        <v>1.9452672531943328E-3</v>
      </c>
    </row>
    <row r="52" spans="1:18" x14ac:dyDescent="0.25">
      <c r="A52" s="16" t="s">
        <v>33</v>
      </c>
      <c r="B52" s="17">
        <v>2022</v>
      </c>
      <c r="C52" s="17" t="s">
        <v>40</v>
      </c>
      <c r="D52" s="21">
        <v>160.30000000000001</v>
      </c>
      <c r="E52" s="21">
        <v>206.5</v>
      </c>
      <c r="F52" s="21">
        <v>169.2</v>
      </c>
      <c r="G52" s="21">
        <v>168.1</v>
      </c>
      <c r="H52" s="21">
        <v>192.4</v>
      </c>
      <c r="I52" s="21">
        <v>172.9</v>
      </c>
      <c r="J52" s="21">
        <v>186.7</v>
      </c>
      <c r="K52" s="21">
        <v>167.2</v>
      </c>
      <c r="L52" s="21">
        <v>120.9</v>
      </c>
      <c r="M52" s="21">
        <v>193.6</v>
      </c>
      <c r="N52" s="21">
        <v>168.8</v>
      </c>
      <c r="O52" s="21">
        <v>186.3</v>
      </c>
      <c r="P52" s="21">
        <v>176.3</v>
      </c>
      <c r="Q52" s="2">
        <f t="shared" si="2"/>
        <v>174.55384615384617</v>
      </c>
      <c r="R52" s="2">
        <f t="shared" ref="R52:R61" si="3">(Q52-Q51)/Q51</f>
        <v>1.2796187618585007E-3</v>
      </c>
    </row>
    <row r="53" spans="1:18" x14ac:dyDescent="0.25">
      <c r="A53" s="14" t="s">
        <v>33</v>
      </c>
      <c r="B53" s="15">
        <v>2022</v>
      </c>
      <c r="C53" s="15" t="s">
        <v>41</v>
      </c>
      <c r="D53" s="20">
        <v>163.5</v>
      </c>
      <c r="E53" s="20">
        <v>209.2</v>
      </c>
      <c r="F53" s="20">
        <v>169.7</v>
      </c>
      <c r="G53" s="20">
        <v>169.7</v>
      </c>
      <c r="H53" s="20">
        <v>188.7</v>
      </c>
      <c r="I53" s="20">
        <v>165.7</v>
      </c>
      <c r="J53" s="20">
        <v>191.8</v>
      </c>
      <c r="K53" s="20">
        <v>169.1</v>
      </c>
      <c r="L53" s="20">
        <v>121.6</v>
      </c>
      <c r="M53" s="20">
        <v>197.3</v>
      </c>
      <c r="N53" s="20">
        <v>169.4</v>
      </c>
      <c r="O53" s="20">
        <v>187.4</v>
      </c>
      <c r="P53" s="20">
        <v>177.8</v>
      </c>
      <c r="Q53" s="2">
        <f t="shared" si="2"/>
        <v>175.45384615384617</v>
      </c>
      <c r="R53" s="2">
        <f t="shared" si="3"/>
        <v>5.1560021152829514E-3</v>
      </c>
    </row>
    <row r="54" spans="1:18" x14ac:dyDescent="0.25">
      <c r="A54" s="16" t="s">
        <v>33</v>
      </c>
      <c r="B54" s="17">
        <v>2022</v>
      </c>
      <c r="C54" s="17" t="s">
        <v>42</v>
      </c>
      <c r="D54" s="21">
        <v>165.2</v>
      </c>
      <c r="E54" s="21">
        <v>210.9</v>
      </c>
      <c r="F54" s="21">
        <v>170.9</v>
      </c>
      <c r="G54" s="21">
        <v>170.9</v>
      </c>
      <c r="H54" s="21">
        <v>186.5</v>
      </c>
      <c r="I54" s="21">
        <v>163.80000000000001</v>
      </c>
      <c r="J54" s="21">
        <v>199.7</v>
      </c>
      <c r="K54" s="21">
        <v>169.8</v>
      </c>
      <c r="L54" s="21">
        <v>121.9</v>
      </c>
      <c r="M54" s="21">
        <v>199.9</v>
      </c>
      <c r="N54" s="21">
        <v>169.9</v>
      </c>
      <c r="O54" s="21">
        <v>188.3</v>
      </c>
      <c r="P54" s="21">
        <v>179.6</v>
      </c>
      <c r="Q54" s="2">
        <f t="shared" si="2"/>
        <v>176.71538461538464</v>
      </c>
      <c r="R54" s="2">
        <f t="shared" si="3"/>
        <v>7.1901442413082701E-3</v>
      </c>
    </row>
    <row r="55" spans="1:18" x14ac:dyDescent="0.25">
      <c r="A55" s="14" t="s">
        <v>33</v>
      </c>
      <c r="B55" s="15">
        <v>2022</v>
      </c>
      <c r="C55" s="15" t="s">
        <v>43</v>
      </c>
      <c r="D55" s="20">
        <v>167.4</v>
      </c>
      <c r="E55" s="20">
        <v>209.4</v>
      </c>
      <c r="F55" s="20">
        <v>181.4</v>
      </c>
      <c r="G55" s="20">
        <v>172.3</v>
      </c>
      <c r="H55" s="20">
        <v>188.9</v>
      </c>
      <c r="I55" s="20">
        <v>160.69999999999999</v>
      </c>
      <c r="J55" s="20">
        <v>183.1</v>
      </c>
      <c r="K55" s="20">
        <v>170.5</v>
      </c>
      <c r="L55" s="20">
        <v>122.1</v>
      </c>
      <c r="M55" s="20">
        <v>202.8</v>
      </c>
      <c r="N55" s="20">
        <v>170.4</v>
      </c>
      <c r="O55" s="20">
        <v>189.5</v>
      </c>
      <c r="P55" s="20">
        <v>178.3</v>
      </c>
      <c r="Q55" s="2">
        <f t="shared" si="2"/>
        <v>176.67692307692309</v>
      </c>
      <c r="R55" s="2">
        <f t="shared" si="3"/>
        <v>-2.176468027685168E-4</v>
      </c>
    </row>
    <row r="56" spans="1:18" x14ac:dyDescent="0.25">
      <c r="A56" s="16" t="s">
        <v>33</v>
      </c>
      <c r="B56" s="17">
        <v>2022</v>
      </c>
      <c r="C56" s="17" t="s">
        <v>44</v>
      </c>
      <c r="D56" s="21">
        <v>169.2</v>
      </c>
      <c r="E56" s="21">
        <v>209</v>
      </c>
      <c r="F56" s="21">
        <v>190.2</v>
      </c>
      <c r="G56" s="21">
        <v>173.6</v>
      </c>
      <c r="H56" s="21">
        <v>188.5</v>
      </c>
      <c r="I56" s="21">
        <v>158</v>
      </c>
      <c r="J56" s="21">
        <v>159.9</v>
      </c>
      <c r="K56" s="21">
        <v>170.8</v>
      </c>
      <c r="L56" s="21">
        <v>121.8</v>
      </c>
      <c r="M56" s="21">
        <v>205.2</v>
      </c>
      <c r="N56" s="21">
        <v>171</v>
      </c>
      <c r="O56" s="21">
        <v>190.3</v>
      </c>
      <c r="P56" s="21">
        <v>175.9</v>
      </c>
      <c r="Q56" s="2">
        <f t="shared" si="2"/>
        <v>175.64615384615385</v>
      </c>
      <c r="R56" s="2">
        <f t="shared" si="3"/>
        <v>-5.8342041100662182E-3</v>
      </c>
    </row>
    <row r="57" spans="1:18" x14ac:dyDescent="0.25">
      <c r="A57" s="14" t="s">
        <v>33</v>
      </c>
      <c r="B57" s="15">
        <v>2023</v>
      </c>
      <c r="C57" s="15" t="s">
        <v>31</v>
      </c>
      <c r="D57" s="20">
        <v>173.8</v>
      </c>
      <c r="E57" s="20">
        <v>210.7</v>
      </c>
      <c r="F57" s="20">
        <v>194.5</v>
      </c>
      <c r="G57" s="20">
        <v>174.6</v>
      </c>
      <c r="H57" s="20">
        <v>187.2</v>
      </c>
      <c r="I57" s="20">
        <v>158.30000000000001</v>
      </c>
      <c r="J57" s="20">
        <v>153.9</v>
      </c>
      <c r="K57" s="20">
        <v>170.9</v>
      </c>
      <c r="L57" s="20">
        <v>121.1</v>
      </c>
      <c r="M57" s="20">
        <v>208.4</v>
      </c>
      <c r="N57" s="20">
        <v>171.4</v>
      </c>
      <c r="O57" s="20">
        <v>191.2</v>
      </c>
      <c r="P57" s="20">
        <v>176.7</v>
      </c>
      <c r="Q57" s="2">
        <f t="shared" si="2"/>
        <v>176.36153846153846</v>
      </c>
      <c r="R57" s="2">
        <f t="shared" si="3"/>
        <v>4.0728737847069707E-3</v>
      </c>
    </row>
    <row r="58" spans="1:18" x14ac:dyDescent="0.25">
      <c r="A58" s="16" t="s">
        <v>33</v>
      </c>
      <c r="B58" s="17">
        <v>2023</v>
      </c>
      <c r="C58" s="17" t="s">
        <v>34</v>
      </c>
      <c r="D58" s="21">
        <v>174.4</v>
      </c>
      <c r="E58" s="21">
        <v>207.7</v>
      </c>
      <c r="F58" s="21">
        <v>175.2</v>
      </c>
      <c r="G58" s="21">
        <v>177.3</v>
      </c>
      <c r="H58" s="21">
        <v>179.3</v>
      </c>
      <c r="I58" s="21">
        <v>169.5</v>
      </c>
      <c r="J58" s="21">
        <v>152.69999999999999</v>
      </c>
      <c r="K58" s="21">
        <v>171</v>
      </c>
      <c r="L58" s="21">
        <v>120</v>
      </c>
      <c r="M58" s="21">
        <v>209.7</v>
      </c>
      <c r="N58" s="21">
        <v>172.3</v>
      </c>
      <c r="O58" s="21">
        <v>193</v>
      </c>
      <c r="P58" s="21">
        <v>177</v>
      </c>
      <c r="Q58" s="2">
        <f t="shared" si="2"/>
        <v>175.3153846153846</v>
      </c>
      <c r="R58" s="2">
        <f t="shared" si="3"/>
        <v>-5.9318707201117182E-3</v>
      </c>
    </row>
    <row r="59" spans="1:18" x14ac:dyDescent="0.25">
      <c r="A59" s="14" t="s">
        <v>33</v>
      </c>
      <c r="B59" s="15">
        <v>2023</v>
      </c>
      <c r="C59" s="15" t="s">
        <v>35</v>
      </c>
      <c r="D59" s="20">
        <v>174.4</v>
      </c>
      <c r="E59" s="20">
        <v>207.7</v>
      </c>
      <c r="F59" s="20">
        <v>175.2</v>
      </c>
      <c r="G59" s="20">
        <v>177.3</v>
      </c>
      <c r="H59" s="20">
        <v>179.2</v>
      </c>
      <c r="I59" s="20">
        <v>169.5</v>
      </c>
      <c r="J59" s="20">
        <v>152.80000000000001</v>
      </c>
      <c r="K59" s="20">
        <v>171.1</v>
      </c>
      <c r="L59" s="20">
        <v>120</v>
      </c>
      <c r="M59" s="20">
        <v>209.7</v>
      </c>
      <c r="N59" s="20">
        <v>172.3</v>
      </c>
      <c r="O59" s="20">
        <v>193</v>
      </c>
      <c r="P59" s="20">
        <v>177</v>
      </c>
      <c r="Q59" s="2">
        <f t="shared" si="2"/>
        <v>175.32307692307691</v>
      </c>
      <c r="R59" s="2">
        <f t="shared" si="3"/>
        <v>4.3876968978992914E-5</v>
      </c>
    </row>
    <row r="60" spans="1:18" x14ac:dyDescent="0.25">
      <c r="A60" s="16" t="s">
        <v>33</v>
      </c>
      <c r="B60" s="17">
        <v>2023</v>
      </c>
      <c r="C60" s="17" t="s">
        <v>36</v>
      </c>
      <c r="D60" s="21">
        <v>173.8</v>
      </c>
      <c r="E60" s="21">
        <v>209.3</v>
      </c>
      <c r="F60" s="21">
        <v>169.6</v>
      </c>
      <c r="G60" s="21">
        <v>178.4</v>
      </c>
      <c r="H60" s="21">
        <v>174.9</v>
      </c>
      <c r="I60" s="21">
        <v>176.3</v>
      </c>
      <c r="J60" s="21">
        <v>155.4</v>
      </c>
      <c r="K60" s="21">
        <v>173.4</v>
      </c>
      <c r="L60" s="21">
        <v>121.3</v>
      </c>
      <c r="M60" s="21">
        <v>212.9</v>
      </c>
      <c r="N60" s="21">
        <v>172.9</v>
      </c>
      <c r="O60" s="21">
        <v>193.5</v>
      </c>
      <c r="P60" s="21">
        <v>177.9</v>
      </c>
      <c r="Q60" s="2">
        <f t="shared" si="2"/>
        <v>176.12307692307695</v>
      </c>
      <c r="R60" s="2">
        <f t="shared" si="3"/>
        <v>4.5630045630047902E-3</v>
      </c>
    </row>
    <row r="61" spans="1:18" x14ac:dyDescent="0.25">
      <c r="A61" s="14" t="s">
        <v>33</v>
      </c>
      <c r="B61" s="15">
        <v>2023</v>
      </c>
      <c r="C61" s="15" t="s">
        <v>37</v>
      </c>
      <c r="D61" s="20">
        <v>173.7</v>
      </c>
      <c r="E61" s="20">
        <v>214.3</v>
      </c>
      <c r="F61" s="20">
        <v>173.2</v>
      </c>
      <c r="G61" s="20">
        <v>179.5</v>
      </c>
      <c r="H61" s="20">
        <v>170</v>
      </c>
      <c r="I61" s="20">
        <v>172.2</v>
      </c>
      <c r="J61" s="20">
        <v>161</v>
      </c>
      <c r="K61" s="20">
        <v>175.6</v>
      </c>
      <c r="L61" s="20">
        <v>122.7</v>
      </c>
      <c r="M61" s="20">
        <v>218</v>
      </c>
      <c r="N61" s="20">
        <v>173.4</v>
      </c>
      <c r="O61" s="20">
        <v>194.2</v>
      </c>
      <c r="P61" s="20">
        <v>179.1</v>
      </c>
      <c r="Q61" s="2">
        <f t="shared" si="2"/>
        <v>177.45384615384617</v>
      </c>
      <c r="R61" s="2">
        <f t="shared" si="3"/>
        <v>7.555904961565281E-3</v>
      </c>
    </row>
    <row r="68" spans="1:18" x14ac:dyDescent="0.25">
      <c r="A68" s="19" t="s">
        <v>0</v>
      </c>
      <c r="B68" s="12" t="s">
        <v>1</v>
      </c>
      <c r="C68" s="12" t="s">
        <v>2</v>
      </c>
      <c r="D68" s="12" t="s">
        <v>3</v>
      </c>
      <c r="E68" s="12" t="s">
        <v>4</v>
      </c>
      <c r="F68" s="12" t="s">
        <v>5</v>
      </c>
      <c r="G68" s="12" t="s">
        <v>6</v>
      </c>
      <c r="H68" s="12" t="s">
        <v>7</v>
      </c>
      <c r="I68" s="12" t="s">
        <v>8</v>
      </c>
      <c r="J68" s="12" t="s">
        <v>9</v>
      </c>
      <c r="K68" s="12" t="s">
        <v>10</v>
      </c>
      <c r="L68" s="12" t="s">
        <v>11</v>
      </c>
      <c r="M68" s="12" t="s">
        <v>12</v>
      </c>
      <c r="N68" s="12" t="s">
        <v>13</v>
      </c>
      <c r="O68" s="12" t="s">
        <v>14</v>
      </c>
      <c r="P68" s="12" t="s">
        <v>15</v>
      </c>
      <c r="Q68" s="22" t="s">
        <v>125</v>
      </c>
      <c r="R68" s="22" t="s">
        <v>126</v>
      </c>
    </row>
    <row r="69" spans="1:18" x14ac:dyDescent="0.25">
      <c r="A69" s="14" t="s">
        <v>32</v>
      </c>
      <c r="B69" s="15">
        <v>2022</v>
      </c>
      <c r="C69" s="15" t="s">
        <v>37</v>
      </c>
      <c r="D69" s="20">
        <v>156.69999999999999</v>
      </c>
      <c r="E69" s="20">
        <v>221.2</v>
      </c>
      <c r="F69" s="20">
        <v>164.1</v>
      </c>
      <c r="G69" s="20">
        <v>165.4</v>
      </c>
      <c r="H69" s="20">
        <v>189.5</v>
      </c>
      <c r="I69" s="20">
        <v>174.5</v>
      </c>
      <c r="J69" s="20">
        <v>203.2</v>
      </c>
      <c r="K69" s="20">
        <v>164.1</v>
      </c>
      <c r="L69" s="20">
        <v>121.2</v>
      </c>
      <c r="M69" s="20">
        <v>181.4</v>
      </c>
      <c r="N69" s="20">
        <v>158.5</v>
      </c>
      <c r="O69" s="20">
        <v>184.9</v>
      </c>
      <c r="P69" s="20">
        <v>177.5</v>
      </c>
      <c r="Q69" s="2">
        <f>AVERAGE(D69:P69)</f>
        <v>174.01538461538465</v>
      </c>
      <c r="R69" s="23">
        <v>0</v>
      </c>
    </row>
    <row r="70" spans="1:18" x14ac:dyDescent="0.25">
      <c r="A70" s="16" t="s">
        <v>32</v>
      </c>
      <c r="B70" s="17">
        <v>2022</v>
      </c>
      <c r="C70" s="17" t="s">
        <v>38</v>
      </c>
      <c r="D70" s="21">
        <v>157.5</v>
      </c>
      <c r="E70" s="21">
        <v>223.4</v>
      </c>
      <c r="F70" s="21">
        <v>172.8</v>
      </c>
      <c r="G70" s="21">
        <v>166.4</v>
      </c>
      <c r="H70" s="21">
        <v>188.6</v>
      </c>
      <c r="I70" s="21">
        <v>174.1</v>
      </c>
      <c r="J70" s="21">
        <v>211.5</v>
      </c>
      <c r="K70" s="21">
        <v>163.6</v>
      </c>
      <c r="L70" s="21">
        <v>121.4</v>
      </c>
      <c r="M70" s="21">
        <v>183.5</v>
      </c>
      <c r="N70" s="21">
        <v>159.1</v>
      </c>
      <c r="O70" s="21">
        <v>186.3</v>
      </c>
      <c r="P70" s="21">
        <v>179.3</v>
      </c>
      <c r="Q70" s="2">
        <f t="shared" ref="Q70:Q81" si="4">AVERAGE(D70:P70)</f>
        <v>175.96153846153845</v>
      </c>
      <c r="R70" s="2">
        <f>(Q70-Q69)/Q69</f>
        <v>1.1183803377243156E-2</v>
      </c>
    </row>
    <row r="71" spans="1:18" x14ac:dyDescent="0.25">
      <c r="A71" s="14" t="s">
        <v>32</v>
      </c>
      <c r="B71" s="15">
        <v>2022</v>
      </c>
      <c r="C71" s="15" t="s">
        <v>39</v>
      </c>
      <c r="D71" s="20">
        <v>159.30000000000001</v>
      </c>
      <c r="E71" s="20">
        <v>217.1</v>
      </c>
      <c r="F71" s="20">
        <v>176.6</v>
      </c>
      <c r="G71" s="20">
        <v>167.1</v>
      </c>
      <c r="H71" s="20">
        <v>184.8</v>
      </c>
      <c r="I71" s="20">
        <v>179.5</v>
      </c>
      <c r="J71" s="20">
        <v>208.5</v>
      </c>
      <c r="K71" s="20">
        <v>164</v>
      </c>
      <c r="L71" s="20">
        <v>121.5</v>
      </c>
      <c r="M71" s="20">
        <v>186.3</v>
      </c>
      <c r="N71" s="20">
        <v>159.80000000000001</v>
      </c>
      <c r="O71" s="20">
        <v>187.7</v>
      </c>
      <c r="P71" s="20">
        <v>179.4</v>
      </c>
      <c r="Q71" s="2">
        <f t="shared" si="4"/>
        <v>176.27692307692308</v>
      </c>
      <c r="R71" s="2">
        <f t="shared" ref="R71:R81" si="5">(Q71-Q70)/Q70</f>
        <v>1.7923497267760408E-3</v>
      </c>
    </row>
    <row r="72" spans="1:18" x14ac:dyDescent="0.25">
      <c r="A72" s="16" t="s">
        <v>32</v>
      </c>
      <c r="B72" s="17">
        <v>2022</v>
      </c>
      <c r="C72" s="17" t="s">
        <v>40</v>
      </c>
      <c r="D72" s="21">
        <v>162.1</v>
      </c>
      <c r="E72" s="21">
        <v>210.9</v>
      </c>
      <c r="F72" s="21">
        <v>170.6</v>
      </c>
      <c r="G72" s="21">
        <v>168.4</v>
      </c>
      <c r="H72" s="21">
        <v>182.5</v>
      </c>
      <c r="I72" s="21">
        <v>177.1</v>
      </c>
      <c r="J72" s="21">
        <v>213.1</v>
      </c>
      <c r="K72" s="21">
        <v>167.3</v>
      </c>
      <c r="L72" s="21">
        <v>122.2</v>
      </c>
      <c r="M72" s="21">
        <v>189.7</v>
      </c>
      <c r="N72" s="21">
        <v>160.5</v>
      </c>
      <c r="O72" s="21">
        <v>188.9</v>
      </c>
      <c r="P72" s="21">
        <v>180.4</v>
      </c>
      <c r="Q72" s="2">
        <f t="shared" si="4"/>
        <v>176.43846153846152</v>
      </c>
      <c r="R72" s="2">
        <f t="shared" si="5"/>
        <v>9.1639029499028556E-4</v>
      </c>
    </row>
    <row r="73" spans="1:18" x14ac:dyDescent="0.25">
      <c r="A73" s="14" t="s">
        <v>32</v>
      </c>
      <c r="B73" s="15">
        <v>2022</v>
      </c>
      <c r="C73" s="15" t="s">
        <v>41</v>
      </c>
      <c r="D73" s="20">
        <v>164.9</v>
      </c>
      <c r="E73" s="20">
        <v>213.7</v>
      </c>
      <c r="F73" s="20">
        <v>170.9</v>
      </c>
      <c r="G73" s="20">
        <v>170.1</v>
      </c>
      <c r="H73" s="20">
        <v>179.3</v>
      </c>
      <c r="I73" s="20">
        <v>167.5</v>
      </c>
      <c r="J73" s="20">
        <v>220.8</v>
      </c>
      <c r="K73" s="20">
        <v>169.2</v>
      </c>
      <c r="L73" s="20">
        <v>123.1</v>
      </c>
      <c r="M73" s="20">
        <v>193.6</v>
      </c>
      <c r="N73" s="20">
        <v>161.1</v>
      </c>
      <c r="O73" s="20">
        <v>190.4</v>
      </c>
      <c r="P73" s="20">
        <v>181.8</v>
      </c>
      <c r="Q73" s="2">
        <f t="shared" si="4"/>
        <v>177.41538461538462</v>
      </c>
      <c r="R73" s="2">
        <f t="shared" si="5"/>
        <v>5.5369054366309033E-3</v>
      </c>
    </row>
    <row r="74" spans="1:18" x14ac:dyDescent="0.25">
      <c r="A74" s="16" t="s">
        <v>32</v>
      </c>
      <c r="B74" s="17">
        <v>2022</v>
      </c>
      <c r="C74" s="17" t="s">
        <v>42</v>
      </c>
      <c r="D74" s="21">
        <v>166.4</v>
      </c>
      <c r="E74" s="21">
        <v>214.9</v>
      </c>
      <c r="F74" s="21">
        <v>171.9</v>
      </c>
      <c r="G74" s="21">
        <v>171</v>
      </c>
      <c r="H74" s="21">
        <v>177.7</v>
      </c>
      <c r="I74" s="21">
        <v>165.7</v>
      </c>
      <c r="J74" s="21">
        <v>228.6</v>
      </c>
      <c r="K74" s="21">
        <v>169.9</v>
      </c>
      <c r="L74" s="21">
        <v>123.4</v>
      </c>
      <c r="M74" s="21">
        <v>196.4</v>
      </c>
      <c r="N74" s="21">
        <v>161.6</v>
      </c>
      <c r="O74" s="21">
        <v>191.5</v>
      </c>
      <c r="P74" s="21">
        <v>183.3</v>
      </c>
      <c r="Q74" s="2">
        <f t="shared" si="4"/>
        <v>178.63846153846154</v>
      </c>
      <c r="R74" s="2">
        <f t="shared" si="5"/>
        <v>6.8938605619146371E-3</v>
      </c>
    </row>
    <row r="75" spans="1:18" x14ac:dyDescent="0.25">
      <c r="A75" s="14" t="s">
        <v>32</v>
      </c>
      <c r="B75" s="15">
        <v>2022</v>
      </c>
      <c r="C75" s="15" t="s">
        <v>43</v>
      </c>
      <c r="D75" s="20">
        <v>168.4</v>
      </c>
      <c r="E75" s="20">
        <v>213.4</v>
      </c>
      <c r="F75" s="20">
        <v>183.2</v>
      </c>
      <c r="G75" s="20">
        <v>172.3</v>
      </c>
      <c r="H75" s="20">
        <v>180</v>
      </c>
      <c r="I75" s="20">
        <v>162.6</v>
      </c>
      <c r="J75" s="20">
        <v>205.5</v>
      </c>
      <c r="K75" s="20">
        <v>171</v>
      </c>
      <c r="L75" s="20">
        <v>123.4</v>
      </c>
      <c r="M75" s="20">
        <v>198.8</v>
      </c>
      <c r="N75" s="20">
        <v>162.1</v>
      </c>
      <c r="O75" s="20">
        <v>192.4</v>
      </c>
      <c r="P75" s="20">
        <v>181.3</v>
      </c>
      <c r="Q75" s="2">
        <f t="shared" si="4"/>
        <v>178.03076923076924</v>
      </c>
      <c r="R75" s="2">
        <f t="shared" si="5"/>
        <v>-3.4017999397149157E-3</v>
      </c>
    </row>
    <row r="76" spans="1:18" x14ac:dyDescent="0.25">
      <c r="A76" s="16" t="s">
        <v>32</v>
      </c>
      <c r="B76" s="17">
        <v>2022</v>
      </c>
      <c r="C76" s="17" t="s">
        <v>44</v>
      </c>
      <c r="D76" s="21">
        <v>170.2</v>
      </c>
      <c r="E76" s="21">
        <v>212.9</v>
      </c>
      <c r="F76" s="21">
        <v>191.9</v>
      </c>
      <c r="G76" s="21">
        <v>173.9</v>
      </c>
      <c r="H76" s="21">
        <v>179.1</v>
      </c>
      <c r="I76" s="21">
        <v>159.5</v>
      </c>
      <c r="J76" s="21">
        <v>178.7</v>
      </c>
      <c r="K76" s="21">
        <v>171.3</v>
      </c>
      <c r="L76" s="21">
        <v>123.1</v>
      </c>
      <c r="M76" s="21">
        <v>200.5</v>
      </c>
      <c r="N76" s="21">
        <v>162.80000000000001</v>
      </c>
      <c r="O76" s="21">
        <v>193.3</v>
      </c>
      <c r="P76" s="21">
        <v>178.6</v>
      </c>
      <c r="Q76" s="2">
        <f t="shared" si="4"/>
        <v>176.59999999999997</v>
      </c>
      <c r="R76" s="2">
        <f t="shared" si="5"/>
        <v>-8.0366401659179628E-3</v>
      </c>
    </row>
    <row r="77" spans="1:18" x14ac:dyDescent="0.25">
      <c r="A77" s="14" t="s">
        <v>32</v>
      </c>
      <c r="B77" s="15">
        <v>2023</v>
      </c>
      <c r="C77" s="15" t="s">
        <v>31</v>
      </c>
      <c r="D77" s="20">
        <v>173.3</v>
      </c>
      <c r="E77" s="20">
        <v>215.2</v>
      </c>
      <c r="F77" s="20">
        <v>197</v>
      </c>
      <c r="G77" s="20">
        <v>175.2</v>
      </c>
      <c r="H77" s="20">
        <v>178</v>
      </c>
      <c r="I77" s="20">
        <v>160.5</v>
      </c>
      <c r="J77" s="20">
        <v>175.3</v>
      </c>
      <c r="K77" s="20">
        <v>171.2</v>
      </c>
      <c r="L77" s="20">
        <v>122.7</v>
      </c>
      <c r="M77" s="20">
        <v>204.3</v>
      </c>
      <c r="N77" s="20">
        <v>163.69999999999999</v>
      </c>
      <c r="O77" s="20">
        <v>194.3</v>
      </c>
      <c r="P77" s="20">
        <v>179.5</v>
      </c>
      <c r="Q77" s="2">
        <f t="shared" si="4"/>
        <v>177.70769230769233</v>
      </c>
      <c r="R77" s="2">
        <f t="shared" si="5"/>
        <v>6.2723233731164256E-3</v>
      </c>
    </row>
    <row r="78" spans="1:18" x14ac:dyDescent="0.25">
      <c r="A78" s="16" t="s">
        <v>32</v>
      </c>
      <c r="B78" s="17">
        <v>2023</v>
      </c>
      <c r="C78" s="17" t="s">
        <v>34</v>
      </c>
      <c r="D78" s="21">
        <v>174.7</v>
      </c>
      <c r="E78" s="21">
        <v>212.2</v>
      </c>
      <c r="F78" s="21">
        <v>177.2</v>
      </c>
      <c r="G78" s="21">
        <v>177.9</v>
      </c>
      <c r="H78" s="21">
        <v>172.2</v>
      </c>
      <c r="I78" s="21">
        <v>172.1</v>
      </c>
      <c r="J78" s="21">
        <v>175.8</v>
      </c>
      <c r="K78" s="21">
        <v>172.2</v>
      </c>
      <c r="L78" s="21">
        <v>121.9</v>
      </c>
      <c r="M78" s="21">
        <v>204.8</v>
      </c>
      <c r="N78" s="21">
        <v>164.9</v>
      </c>
      <c r="O78" s="21">
        <v>196.6</v>
      </c>
      <c r="P78" s="21">
        <v>180.7</v>
      </c>
      <c r="Q78" s="2">
        <f t="shared" si="4"/>
        <v>177.16923076923075</v>
      </c>
      <c r="R78" s="2">
        <f t="shared" si="5"/>
        <v>-3.0300406891180342E-3</v>
      </c>
    </row>
    <row r="79" spans="1:18" x14ac:dyDescent="0.25">
      <c r="A79" s="14" t="s">
        <v>32</v>
      </c>
      <c r="B79" s="15">
        <v>2023</v>
      </c>
      <c r="C79" s="15" t="s">
        <v>35</v>
      </c>
      <c r="D79" s="20">
        <v>174.7</v>
      </c>
      <c r="E79" s="20">
        <v>212.2</v>
      </c>
      <c r="F79" s="20">
        <v>177.2</v>
      </c>
      <c r="G79" s="20">
        <v>177.9</v>
      </c>
      <c r="H79" s="20">
        <v>172.2</v>
      </c>
      <c r="I79" s="20">
        <v>172.1</v>
      </c>
      <c r="J79" s="20">
        <v>175.9</v>
      </c>
      <c r="K79" s="20">
        <v>172.2</v>
      </c>
      <c r="L79" s="20">
        <v>121.9</v>
      </c>
      <c r="M79" s="20">
        <v>204.8</v>
      </c>
      <c r="N79" s="20">
        <v>164.9</v>
      </c>
      <c r="O79" s="20">
        <v>196.6</v>
      </c>
      <c r="P79" s="20">
        <v>180.8</v>
      </c>
      <c r="Q79" s="2">
        <f t="shared" si="4"/>
        <v>177.1846153846154</v>
      </c>
      <c r="R79" s="2">
        <f t="shared" si="5"/>
        <v>8.6835706842833875E-5</v>
      </c>
    </row>
    <row r="80" spans="1:18" x14ac:dyDescent="0.25">
      <c r="A80" s="16" t="s">
        <v>32</v>
      </c>
      <c r="B80" s="17">
        <v>2023</v>
      </c>
      <c r="C80" s="17" t="s">
        <v>36</v>
      </c>
      <c r="D80" s="21">
        <v>174.8</v>
      </c>
      <c r="E80" s="21">
        <v>213.7</v>
      </c>
      <c r="F80" s="21">
        <v>172.4</v>
      </c>
      <c r="G80" s="21">
        <v>178.8</v>
      </c>
      <c r="H80" s="21">
        <v>168.7</v>
      </c>
      <c r="I80" s="21">
        <v>179.2</v>
      </c>
      <c r="J80" s="21">
        <v>179.9</v>
      </c>
      <c r="K80" s="21">
        <v>174.7</v>
      </c>
      <c r="L80" s="21">
        <v>123.1</v>
      </c>
      <c r="M80" s="21">
        <v>207.8</v>
      </c>
      <c r="N80" s="21">
        <v>165.5</v>
      </c>
      <c r="O80" s="21">
        <v>197</v>
      </c>
      <c r="P80" s="21">
        <v>182.1</v>
      </c>
      <c r="Q80" s="2">
        <f t="shared" si="4"/>
        <v>178.28461538461539</v>
      </c>
      <c r="R80" s="2">
        <f t="shared" si="5"/>
        <v>6.2082139446035965E-3</v>
      </c>
    </row>
    <row r="81" spans="1:18" x14ac:dyDescent="0.25">
      <c r="A81" s="14" t="s">
        <v>32</v>
      </c>
      <c r="B81" s="15">
        <v>2023</v>
      </c>
      <c r="C81" s="15" t="s">
        <v>37</v>
      </c>
      <c r="D81" s="20">
        <v>174.7</v>
      </c>
      <c r="E81" s="20">
        <v>219.4</v>
      </c>
      <c r="F81" s="20">
        <v>176.7</v>
      </c>
      <c r="G81" s="20">
        <v>179.4</v>
      </c>
      <c r="H81" s="20">
        <v>164.4</v>
      </c>
      <c r="I81" s="20">
        <v>175.8</v>
      </c>
      <c r="J81" s="20">
        <v>185</v>
      </c>
      <c r="K81" s="20">
        <v>176.9</v>
      </c>
      <c r="L81" s="20">
        <v>124.2</v>
      </c>
      <c r="M81" s="20">
        <v>211.9</v>
      </c>
      <c r="N81" s="20">
        <v>165.9</v>
      </c>
      <c r="O81" s="20">
        <v>197.7</v>
      </c>
      <c r="P81" s="20">
        <v>183.1</v>
      </c>
      <c r="Q81" s="2">
        <f t="shared" si="4"/>
        <v>179.62307692307692</v>
      </c>
      <c r="R81" s="2">
        <f t="shared" si="5"/>
        <v>7.5074427233895206E-3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B15195-81D9-4E53-987F-C0FC12D957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All_India_Index_Upto_April23-CP</vt:lpstr>
      <vt:lpstr>Pivot</vt:lpstr>
      <vt:lpstr>Dashboard</vt:lpstr>
      <vt:lpstr>OIL PRICE</vt:lpstr>
      <vt:lpstr>'All_India_Index_Upto_April23-CP'!Criteria</vt:lpstr>
      <vt:lpstr>'All_India_Index_Upto_April23-CP'!Extract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Prabhakar Bait</dc:creator>
  <cp:lastModifiedBy>Prathamesh Prabhakar Bait</cp:lastModifiedBy>
  <dcterms:created xsi:type="dcterms:W3CDTF">2025-08-23T15:37:08Z</dcterms:created>
  <dcterms:modified xsi:type="dcterms:W3CDTF">2025-09-29T11:16:57Z</dcterms:modified>
</cp:coreProperties>
</file>